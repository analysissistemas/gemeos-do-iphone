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tálogo" sheetId="1" state="visible" r:id="rId3"/>
    <sheet name="Resumo" sheetId="2" state="visible" r:id="rId4"/>
    <sheet name="Ajuda" sheetId="3" state="visible" r:id="rId5"/>
  </sheets>
  <definedNames>
    <definedName function="false" hidden="true" localSheetId="0" name="_xlnm._FilterDatabase" vbProcedure="false">Catálogo!$A$4:$S$93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<sst xmlns="http://schemas.openxmlformats.org/spreadsheetml/2006/main" count="1038" uniqueCount="238">
  <si>
    <t xml:space="preserve">Catálogo — Gêmeos do iPhone</t>
  </si>
  <si>
    <t xml:space="preserve">Exportado do sistema em 2026-08-15 · 89 produtos</t>
  </si>
  <si>
    <t xml:space="preserve">ID</t>
  </si>
  <si>
    <t xml:space="preserve">Categoria</t>
  </si>
  <si>
    <t xml:space="preserve">Modelo</t>
  </si>
  <si>
    <t xml:space="preserve">Memória / Tamanho</t>
  </si>
  <si>
    <t xml:space="preserve">Cor</t>
  </si>
  <si>
    <t xml:space="preserve">Condição</t>
  </si>
  <si>
    <t xml:space="preserve">Bateria %</t>
  </si>
  <si>
    <t xml:space="preserve">Avarias</t>
  </si>
  <si>
    <t xml:space="preserve">IMEI</t>
  </si>
  <si>
    <t xml:space="preserve">Entrada</t>
  </si>
  <si>
    <t xml:space="preserve">Custo</t>
  </si>
  <si>
    <t xml:space="preserve">Venda</t>
  </si>
  <si>
    <t xml:space="preserve">Lucro</t>
  </si>
  <si>
    <t xml:space="preserve">Margem</t>
  </si>
  <si>
    <t xml:space="preserve">Qtd</t>
  </si>
  <si>
    <t xml:space="preserve">Controle</t>
  </si>
  <si>
    <t xml:space="preserve">Situação</t>
  </si>
  <si>
    <t xml:space="preserve">Tem foto</t>
  </si>
  <si>
    <t xml:space="preserve">Na vitrine</t>
  </si>
  <si>
    <t xml:space="preserve">iPhone</t>
  </si>
  <si>
    <t xml:space="preserve">iPhone 7 Plus</t>
  </si>
  <si>
    <t xml:space="preserve">32GB</t>
  </si>
  <si>
    <t xml:space="preserve">Vermelho</t>
  </si>
  <si>
    <t xml:space="preserve">Vitrine</t>
  </si>
  <si>
    <t xml:space="preserve">35561086577404</t>
  </si>
  <si>
    <t xml:space="preserve">02/08/2026</t>
  </si>
  <si>
    <t xml:space="preserve">peça única</t>
  </si>
  <si>
    <t xml:space="preserve">em estoque</t>
  </si>
  <si>
    <t xml:space="preserve">não</t>
  </si>
  <si>
    <t xml:space="preserve">sim</t>
  </si>
  <si>
    <t xml:space="preserve">Prata</t>
  </si>
  <si>
    <t xml:space="preserve">Usado</t>
  </si>
  <si>
    <t xml:space="preserve">35269446390991</t>
  </si>
  <si>
    <t xml:space="preserve">10/08/2026</t>
  </si>
  <si>
    <t xml:space="preserve">iPhone 8</t>
  </si>
  <si>
    <t xml:space="preserve">128GB</t>
  </si>
  <si>
    <t xml:space="preserve">Cinza-espacial</t>
  </si>
  <si>
    <t xml:space="preserve">35876272518136</t>
  </si>
  <si>
    <t xml:space="preserve">06/08/2026</t>
  </si>
  <si>
    <t xml:space="preserve">64GB</t>
  </si>
  <si>
    <t xml:space="preserve">Novo (lacrado)</t>
  </si>
  <si>
    <t xml:space="preserve">35994158923895</t>
  </si>
  <si>
    <t xml:space="preserve">07/08/2026</t>
  </si>
  <si>
    <t xml:space="preserve">iPhone 8 Plus</t>
  </si>
  <si>
    <t xml:space="preserve">35676850427402</t>
  </si>
  <si>
    <t xml:space="preserve">35273502158260</t>
  </si>
  <si>
    <t xml:space="preserve">256GB</t>
  </si>
  <si>
    <t xml:space="preserve">35731407268066</t>
  </si>
  <si>
    <t xml:space="preserve">12/08/2026</t>
  </si>
  <si>
    <t xml:space="preserve">iPhone XR</t>
  </si>
  <si>
    <t xml:space="preserve">Amarelo</t>
  </si>
  <si>
    <t xml:space="preserve">Seminovo</t>
  </si>
  <si>
    <t xml:space="preserve">Tela trincada</t>
  </si>
  <si>
    <t xml:space="preserve">35187715126728</t>
  </si>
  <si>
    <t xml:space="preserve">08/08/2026</t>
  </si>
  <si>
    <t xml:space="preserve">Preto</t>
  </si>
  <si>
    <t xml:space="preserve">35985239413731</t>
  </si>
  <si>
    <t xml:space="preserve">04/08/2026</t>
  </si>
  <si>
    <t xml:space="preserve">iPhone XS</t>
  </si>
  <si>
    <t xml:space="preserve">512GB</t>
  </si>
  <si>
    <t xml:space="preserve">35979507388029</t>
  </si>
  <si>
    <t xml:space="preserve">11/08/2026</t>
  </si>
  <si>
    <t xml:space="preserve">Face ID não funciona</t>
  </si>
  <si>
    <t xml:space="preserve">35380192501916</t>
  </si>
  <si>
    <t xml:space="preserve">iPhone 11</t>
  </si>
  <si>
    <t xml:space="preserve">Marcas de uso na lateral</t>
  </si>
  <si>
    <t xml:space="preserve">35212636485462</t>
  </si>
  <si>
    <t xml:space="preserve">05/08/2026</t>
  </si>
  <si>
    <t xml:space="preserve">iPhone 11 Pro Max</t>
  </si>
  <si>
    <t xml:space="preserve">Verde-meia-noite</t>
  </si>
  <si>
    <t xml:space="preserve">35579431213384</t>
  </si>
  <si>
    <t xml:space="preserve">iPhone 12 mini</t>
  </si>
  <si>
    <t xml:space="preserve">Azul</t>
  </si>
  <si>
    <t xml:space="preserve">35382665654886</t>
  </si>
  <si>
    <t xml:space="preserve">35422324300129</t>
  </si>
  <si>
    <t xml:space="preserve">03/08/2026</t>
  </si>
  <si>
    <t xml:space="preserve">35363964450822</t>
  </si>
  <si>
    <t xml:space="preserve">iPhone 12</t>
  </si>
  <si>
    <t xml:space="preserve">Câmera com risco</t>
  </si>
  <si>
    <t xml:space="preserve">35582862272581</t>
  </si>
  <si>
    <t xml:space="preserve">iPhone 12 Pro</t>
  </si>
  <si>
    <t xml:space="preserve">Azul-pacífico</t>
  </si>
  <si>
    <t xml:space="preserve">35831105986202</t>
  </si>
  <si>
    <t xml:space="preserve">35978105217292</t>
  </si>
  <si>
    <t xml:space="preserve">01/08/2026</t>
  </si>
  <si>
    <t xml:space="preserve">35325132294883</t>
  </si>
  <si>
    <t xml:space="preserve">09/08/2026</t>
  </si>
  <si>
    <t xml:space="preserve">iPhone 12 Pro Max</t>
  </si>
  <si>
    <t xml:space="preserve">35543411514099</t>
  </si>
  <si>
    <t xml:space="preserve">iPhone 13</t>
  </si>
  <si>
    <t xml:space="preserve">Verde</t>
  </si>
  <si>
    <t xml:space="preserve">35533461684462</t>
  </si>
  <si>
    <t xml:space="preserve">Estelar</t>
  </si>
  <si>
    <t xml:space="preserve">35144523513599</t>
  </si>
  <si>
    <t xml:space="preserve">iPhone 13 Pro</t>
  </si>
  <si>
    <t xml:space="preserve">35548761430364</t>
  </si>
  <si>
    <t xml:space="preserve">Tela riscada</t>
  </si>
  <si>
    <t xml:space="preserve">35654127120855</t>
  </si>
  <si>
    <t xml:space="preserve">iPhone 13 Pro Max</t>
  </si>
  <si>
    <t xml:space="preserve">Verde-alpino</t>
  </si>
  <si>
    <t xml:space="preserve">35122492133226</t>
  </si>
  <si>
    <t xml:space="preserve">Grafite</t>
  </si>
  <si>
    <t xml:space="preserve">35797199825160</t>
  </si>
  <si>
    <t xml:space="preserve">35972069464098</t>
  </si>
  <si>
    <t xml:space="preserve">iPhone 14</t>
  </si>
  <si>
    <t xml:space="preserve">Roxo</t>
  </si>
  <si>
    <t xml:space="preserve">35930104768981</t>
  </si>
  <si>
    <t xml:space="preserve">35757996749831</t>
  </si>
  <si>
    <t xml:space="preserve">35341892293722</t>
  </si>
  <si>
    <t xml:space="preserve">iPhone 14 Plus</t>
  </si>
  <si>
    <t xml:space="preserve">Meia-noite</t>
  </si>
  <si>
    <t xml:space="preserve">35643650433457</t>
  </si>
  <si>
    <t xml:space="preserve">iPhone 14 Pro</t>
  </si>
  <si>
    <t xml:space="preserve">35725980861389</t>
  </si>
  <si>
    <t xml:space="preserve">iPhone 14 Pro Max</t>
  </si>
  <si>
    <t xml:space="preserve">Preto-espacial</t>
  </si>
  <si>
    <t xml:space="preserve">35345077715557</t>
  </si>
  <si>
    <t xml:space="preserve">1TB</t>
  </si>
  <si>
    <t xml:space="preserve">Dourado</t>
  </si>
  <si>
    <t xml:space="preserve">35556065791532</t>
  </si>
  <si>
    <t xml:space="preserve">35461755626794</t>
  </si>
  <si>
    <t xml:space="preserve">iPhone 15</t>
  </si>
  <si>
    <t xml:space="preserve">35799237889283</t>
  </si>
  <si>
    <t xml:space="preserve">Rosa</t>
  </si>
  <si>
    <t xml:space="preserve">35845223665131</t>
  </si>
  <si>
    <t xml:space="preserve">iPhone 15 Plus</t>
  </si>
  <si>
    <t xml:space="preserve">35227410386430</t>
  </si>
  <si>
    <t xml:space="preserve">35679948296671</t>
  </si>
  <si>
    <t xml:space="preserve">35420858864463</t>
  </si>
  <si>
    <t xml:space="preserve">iPhone 15 Pro</t>
  </si>
  <si>
    <t xml:space="preserve">Titânio Preto</t>
  </si>
  <si>
    <t xml:space="preserve">Bateria trocada</t>
  </si>
  <si>
    <t xml:space="preserve">35431847158218</t>
  </si>
  <si>
    <t xml:space="preserve">iPhone 15 Pro Max</t>
  </si>
  <si>
    <t xml:space="preserve">Vidro traseiro trincado</t>
  </si>
  <si>
    <t xml:space="preserve">35124385453336</t>
  </si>
  <si>
    <t xml:space="preserve">Titânio Branco</t>
  </si>
  <si>
    <t xml:space="preserve">35458269527435</t>
  </si>
  <si>
    <t xml:space="preserve">iPhone 16 Plus</t>
  </si>
  <si>
    <t xml:space="preserve">Verde-acinzentado</t>
  </si>
  <si>
    <t xml:space="preserve">35339932648016</t>
  </si>
  <si>
    <t xml:space="preserve">35871405608834</t>
  </si>
  <si>
    <t xml:space="preserve">35916825779848</t>
  </si>
  <si>
    <t xml:space="preserve">iPhone 16 Pro</t>
  </si>
  <si>
    <t xml:space="preserve">35280241926738</t>
  </si>
  <si>
    <t xml:space="preserve">iPhone 16 Pro Max</t>
  </si>
  <si>
    <t xml:space="preserve">Titânio Natural</t>
  </si>
  <si>
    <t xml:space="preserve">35951333265572</t>
  </si>
  <si>
    <t xml:space="preserve">35451826255781</t>
  </si>
  <si>
    <t xml:space="preserve">35320214437346</t>
  </si>
  <si>
    <t xml:space="preserve">iPhone 17</t>
  </si>
  <si>
    <t xml:space="preserve">Sálvia</t>
  </si>
  <si>
    <t xml:space="preserve">35521711297951</t>
  </si>
  <si>
    <t xml:space="preserve">Azul-névoa</t>
  </si>
  <si>
    <t xml:space="preserve">35907874641405</t>
  </si>
  <si>
    <t xml:space="preserve">iPhone 17e</t>
  </si>
  <si>
    <t xml:space="preserve">35878140402021</t>
  </si>
  <si>
    <t xml:space="preserve">iPhone Air</t>
  </si>
  <si>
    <t xml:space="preserve">Azul-celeste</t>
  </si>
  <si>
    <t xml:space="preserve">35479488770466</t>
  </si>
  <si>
    <t xml:space="preserve">35681247521620</t>
  </si>
  <si>
    <t xml:space="preserve">Dourado-claro</t>
  </si>
  <si>
    <t xml:space="preserve">35475986411574</t>
  </si>
  <si>
    <t xml:space="preserve">iPhone 17 Pro</t>
  </si>
  <si>
    <t xml:space="preserve">Laranja-cósmico</t>
  </si>
  <si>
    <t xml:space="preserve">Tela trocada (paralela)</t>
  </si>
  <si>
    <t xml:space="preserve">35406476352132</t>
  </si>
  <si>
    <t xml:space="preserve">Azul-profundo</t>
  </si>
  <si>
    <t xml:space="preserve">35855961253172</t>
  </si>
  <si>
    <t xml:space="preserve">iPhone 17 Pro Max</t>
  </si>
  <si>
    <t xml:space="preserve">35313761897136</t>
  </si>
  <si>
    <t xml:space="preserve">35259304925237</t>
  </si>
  <si>
    <t xml:space="preserve">iPhone 18</t>
  </si>
  <si>
    <t xml:space="preserve">35635185355290</t>
  </si>
  <si>
    <t xml:space="preserve">iPhone 18 Pro Max</t>
  </si>
  <si>
    <t xml:space="preserve">2TB</t>
  </si>
  <si>
    <t xml:space="preserve">Titânio Prata</t>
  </si>
  <si>
    <t xml:space="preserve">35495311295057</t>
  </si>
  <si>
    <t xml:space="preserve">35763922448319</t>
  </si>
  <si>
    <t xml:space="preserve">iPad</t>
  </si>
  <si>
    <t xml:space="preserve">iPad (11ª geração)</t>
  </si>
  <si>
    <t xml:space="preserve">iPad Air 13" M3</t>
  </si>
  <si>
    <t xml:space="preserve">iPad Pro 11" M4</t>
  </si>
  <si>
    <t xml:space="preserve">iPad Pro 13" M4</t>
  </si>
  <si>
    <t xml:space="preserve">Apple Watch</t>
  </si>
  <si>
    <t xml:space="preserve">Apple Watch SE 3</t>
  </si>
  <si>
    <t xml:space="preserve">40mm</t>
  </si>
  <si>
    <t xml:space="preserve">Apple Watch Ultra 3</t>
  </si>
  <si>
    <t xml:space="preserve">49mm</t>
  </si>
  <si>
    <t xml:space="preserve">MacBook</t>
  </si>
  <si>
    <t xml:space="preserve">MacBook Pro 14" M4</t>
  </si>
  <si>
    <t xml:space="preserve">Motos elétricas</t>
  </si>
  <si>
    <t xml:space="preserve">Motinha Elétrica Kids 6V</t>
  </si>
  <si>
    <t xml:space="preserve">Única</t>
  </si>
  <si>
    <t xml:space="preserve">quantidade</t>
  </si>
  <si>
    <t xml:space="preserve">Motinha Elétrica Kids 12V</t>
  </si>
  <si>
    <t xml:space="preserve">Triciclo Elétrico Infantil</t>
  </si>
  <si>
    <t xml:space="preserve">Scooter Elétrica 350W</t>
  </si>
  <si>
    <t xml:space="preserve">Scooter Elétrica 800W</t>
  </si>
  <si>
    <t xml:space="preserve">Acessórios</t>
  </si>
  <si>
    <t xml:space="preserve">AirPods 4</t>
  </si>
  <si>
    <t xml:space="preserve">Branco</t>
  </si>
  <si>
    <t xml:space="preserve">AirPods Pro 2</t>
  </si>
  <si>
    <t xml:space="preserve">Carregador MagSafe</t>
  </si>
  <si>
    <t xml:space="preserve">Fonte Turbo 20W USB-C</t>
  </si>
  <si>
    <t xml:space="preserve">Cabo USB-C 2m</t>
  </si>
  <si>
    <t xml:space="preserve">Capa Silicone MagSafe</t>
  </si>
  <si>
    <t xml:space="preserve">Película 3D Cerâmica</t>
  </si>
  <si>
    <t xml:space="preserve">AirTag (rastreador)</t>
  </si>
  <si>
    <t xml:space="preserve">1 unidade</t>
  </si>
  <si>
    <t xml:space="preserve">JBL Go 4</t>
  </si>
  <si>
    <t xml:space="preserve">JBL PartyBox 100</t>
  </si>
  <si>
    <t xml:space="preserve">Power Bank 10.000mAh</t>
  </si>
  <si>
    <t xml:space="preserve">TOTAL</t>
  </si>
  <si>
    <t xml:space="preserve">Resumo por categoria</t>
  </si>
  <si>
    <t xml:space="preserve">Os números vêm da aba Catálogo — mexeu lá, muda aqui.</t>
  </si>
  <si>
    <t xml:space="preserve">Produtos</t>
  </si>
  <si>
    <t xml:space="preserve">Investido (custo)</t>
  </si>
  <si>
    <t xml:space="preserve">A receber (venda)</t>
  </si>
  <si>
    <t xml:space="preserve">Lucro previsto</t>
  </si>
  <si>
    <t xml:space="preserve">Como ler esta planilha</t>
  </si>
  <si>
    <t xml:space="preserve">Coluna</t>
  </si>
  <si>
    <t xml:space="preserve">O que significa</t>
  </si>
  <si>
    <t xml:space="preserve">O que você pagou no aparelho. É o número que você digita — pode corrigir aqui.</t>
  </si>
  <si>
    <t xml:space="preserve">Preço pedido ao cliente. Também pode ser corrigido aqui.</t>
  </si>
  <si>
    <t xml:space="preserve">FÓRMULA: Venda menos Custo. Muda sozinho se você corrigir um dos dois.</t>
  </si>
  <si>
    <t xml:space="preserve">FÓRMULA: quanto do preço de venda é lucro. 30% quer dizer que R$30 de cada R$100 sobram.</t>
  </si>
  <si>
    <t xml:space="preserve">Saúde da bateria daquele aparelho. Vazio quer dizer acessório, ou aparelho lacrado.</t>
  </si>
  <si>
    <t xml:space="preserve">Defeitos declarados. Vazio quer dizer sem avaria.</t>
  </si>
  <si>
    <t xml:space="preserve">«peça única» é aparelho com IMEI, contado um a um. «quantidade» é acessório, contado por unidade.</t>
  </si>
  <si>
    <t xml:space="preserve">Se o item ainda está no estoque ou já foi vendido.</t>
  </si>
  <si>
    <t xml:space="preserve">Se existe foto do produto no catálogo do cliente. «não» aparece com o contorno desenhado.</t>
  </si>
  <si>
    <t xml:space="preserve">Se o cliente enxerga esse item na loja. «não» fica só no seu controle interno.</t>
  </si>
  <si>
    <t xml:space="preserve">De onde vêm os dados</t>
  </si>
  <si>
    <t xml:space="preserve">Exportado do próprio sistema da loja, para a planilha nunca discordar do que está na tela. Para atualizar, exporte de novo e rode gerar_excel_catalogo.py.</t>
  </si>
  <si>
    <t xml:space="preserve">ATENÇÃO: os valores desta versão são dados de exemplo do protótipo, não o estoque real da loja.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</si>
</sst>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$ &quot;#,##0;&quot;-R$ &quot;#,##0;\-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B0B0C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A7D2E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0"/>
      <color rgb="FFB4231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7F9F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  <diagonal/>
    </border>
    <border diagonalUp="false" diagonalDown="false">
      <left/>
      <right/>
      <top style="medium">
        <color rgb="FF1F293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2937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B7280"/>
          <bgColor rgb="FF000000"/>
        </patternFill>
      </fill>
    </dxf>
    <dxf>
      <fill>
        <patternFill patternType="solid">
          <fgColor rgb="FF0A7D2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A7D2E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9FC"/>
      <rgbColor rgb="FFCCFFFF"/>
      <rgbColor rgb="FF660066"/>
      <rgbColor rgb="FFFF8080"/>
      <rgbColor rgb="FF0066CC"/>
      <rgbColor rgb="FFD8DE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B0B0C"/>
      <rgbColor rgb="FF333300"/>
      <rgbColor rgb="FFB42318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17"/>
    <col collapsed="false" customWidth="true" hidden="false" outlineLevel="0" max="5" min="5" style="0" width="20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8" min="8" style="0" width="26"/>
    <col collapsed="false" customWidth="true" hidden="false" outlineLevel="0" max="9" min="9" style="0" width="17"/>
    <col collapsed="false" customWidth="true" hidden="false" outlineLevel="0" max="10" min="10" style="0" width="11"/>
    <col collapsed="false" customWidth="true" hidden="false" outlineLevel="0" max="13" min="11" style="0" width="12"/>
    <col collapsed="false" customWidth="true" hidden="false" outlineLevel="0" max="14" min="14" style="0" width="10"/>
    <col collapsed="false" customWidth="true" hidden="false" outlineLevel="0" max="15" min="15" style="0" width="7"/>
    <col collapsed="false" customWidth="true" hidden="false" outlineLevel="0" max="17" min="16" style="0" width="13"/>
    <col collapsed="false" customWidth="true" hidden="false" outlineLevel="0" max="18" min="18" style="0" width="10"/>
    <col collapsed="false" customWidth="true" hidden="false" outlineLevel="0" max="19" min="19" style="0" width="11"/>
  </cols>
  <sheetData>
    <row r="1" customFormat="false" ht="18.5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</row>
    <row r="5" customFormat="false" ht="15" hidden="false" customHeight="false" outlineLevel="0" collapsed="false">
      <c r="A5" s="4" t="n">
        <v>1</v>
      </c>
      <c r="B5" s="5" t="s">
        <v>21</v>
      </c>
      <c r="C5" s="5" t="s">
        <v>22</v>
      </c>
      <c r="D5" s="5" t="s">
        <v>23</v>
      </c>
      <c r="E5" s="5" t="s">
        <v>24</v>
      </c>
      <c r="F5" s="5" t="s">
        <v>25</v>
      </c>
      <c r="G5" s="4" t="n">
        <v>82</v>
      </c>
      <c r="H5" s="5"/>
      <c r="I5" s="6" t="s">
        <v>26</v>
      </c>
      <c r="J5" s="5" t="s">
        <v>27</v>
      </c>
      <c r="K5" s="7" t="n">
        <v>348</v>
      </c>
      <c r="L5" s="7" t="n">
        <v>490</v>
      </c>
      <c r="M5" s="8" t="n">
        <f aca="false">L5-K5</f>
        <v>142</v>
      </c>
      <c r="N5" s="9" t="n">
        <f aca="false">IFERROR((L5-K5)/L5,"")</f>
        <v>0.289795918367347</v>
      </c>
      <c r="O5" s="4" t="n">
        <v>1</v>
      </c>
      <c r="P5" s="5" t="s">
        <v>28</v>
      </c>
      <c r="Q5" s="5" t="s">
        <v>29</v>
      </c>
      <c r="R5" s="5" t="s">
        <v>30</v>
      </c>
      <c r="S5" s="5" t="s">
        <v>31</v>
      </c>
    </row>
    <row r="6" customFormat="false" ht="15" hidden="false" customHeight="false" outlineLevel="0" collapsed="false">
      <c r="A6" s="10" t="n">
        <v>2</v>
      </c>
      <c r="B6" s="11" t="s">
        <v>21</v>
      </c>
      <c r="C6" s="11" t="s">
        <v>22</v>
      </c>
      <c r="D6" s="11" t="s">
        <v>23</v>
      </c>
      <c r="E6" s="11" t="s">
        <v>32</v>
      </c>
      <c r="F6" s="11" t="s">
        <v>33</v>
      </c>
      <c r="G6" s="10" t="n">
        <v>98</v>
      </c>
      <c r="H6" s="11"/>
      <c r="I6" s="12" t="s">
        <v>34</v>
      </c>
      <c r="J6" s="11" t="s">
        <v>35</v>
      </c>
      <c r="K6" s="13" t="n">
        <v>284</v>
      </c>
      <c r="L6" s="13" t="n">
        <v>410</v>
      </c>
      <c r="M6" s="14" t="n">
        <f aca="false">L6-K6</f>
        <v>126</v>
      </c>
      <c r="N6" s="15" t="n">
        <f aca="false">IFERROR((L6-K6)/L6,"")</f>
        <v>0.307317073170732</v>
      </c>
      <c r="O6" s="10" t="n">
        <v>1</v>
      </c>
      <c r="P6" s="11" t="s">
        <v>28</v>
      </c>
      <c r="Q6" s="11" t="s">
        <v>29</v>
      </c>
      <c r="R6" s="11" t="s">
        <v>30</v>
      </c>
      <c r="S6" s="11" t="s">
        <v>31</v>
      </c>
    </row>
    <row r="7" customFormat="false" ht="15" hidden="false" customHeight="false" outlineLevel="0" collapsed="false">
      <c r="A7" s="4" t="n">
        <v>3</v>
      </c>
      <c r="B7" s="5" t="s">
        <v>21</v>
      </c>
      <c r="C7" s="5" t="s">
        <v>36</v>
      </c>
      <c r="D7" s="5" t="s">
        <v>37</v>
      </c>
      <c r="E7" s="5" t="s">
        <v>38</v>
      </c>
      <c r="F7" s="5" t="s">
        <v>33</v>
      </c>
      <c r="G7" s="4" t="n">
        <v>94</v>
      </c>
      <c r="H7" s="5"/>
      <c r="I7" s="6" t="s">
        <v>39</v>
      </c>
      <c r="J7" s="5" t="s">
        <v>40</v>
      </c>
      <c r="K7" s="7" t="n">
        <v>324</v>
      </c>
      <c r="L7" s="7" t="n">
        <v>440</v>
      </c>
      <c r="M7" s="8" t="n">
        <f aca="false">L7-K7</f>
        <v>116</v>
      </c>
      <c r="N7" s="9" t="n">
        <f aca="false">IFERROR((L7-K7)/L7,"")</f>
        <v>0.263636363636364</v>
      </c>
      <c r="O7" s="4" t="n">
        <v>1</v>
      </c>
      <c r="P7" s="5" t="s">
        <v>28</v>
      </c>
      <c r="Q7" s="5" t="s">
        <v>29</v>
      </c>
      <c r="R7" s="5" t="s">
        <v>30</v>
      </c>
      <c r="S7" s="5" t="s">
        <v>31</v>
      </c>
    </row>
    <row r="8" customFormat="false" ht="15" hidden="false" customHeight="false" outlineLevel="0" collapsed="false">
      <c r="A8" s="10" t="n">
        <v>4</v>
      </c>
      <c r="B8" s="11" t="s">
        <v>21</v>
      </c>
      <c r="C8" s="11" t="s">
        <v>36</v>
      </c>
      <c r="D8" s="11" t="s">
        <v>41</v>
      </c>
      <c r="E8" s="11" t="s">
        <v>38</v>
      </c>
      <c r="F8" s="11" t="s">
        <v>42</v>
      </c>
      <c r="G8" s="10" t="n">
        <v>100</v>
      </c>
      <c r="H8" s="11"/>
      <c r="I8" s="12" t="s">
        <v>43</v>
      </c>
      <c r="J8" s="11" t="s">
        <v>44</v>
      </c>
      <c r="K8" s="13" t="n">
        <v>527</v>
      </c>
      <c r="L8" s="13" t="n">
        <v>680</v>
      </c>
      <c r="M8" s="14" t="n">
        <f aca="false">L8-K8</f>
        <v>153</v>
      </c>
      <c r="N8" s="15" t="n">
        <f aca="false">IFERROR((L8-K8)/L8,"")</f>
        <v>0.225</v>
      </c>
      <c r="O8" s="10" t="n">
        <v>1</v>
      </c>
      <c r="P8" s="11" t="s">
        <v>28</v>
      </c>
      <c r="Q8" s="11" t="s">
        <v>29</v>
      </c>
      <c r="R8" s="11" t="s">
        <v>30</v>
      </c>
      <c r="S8" s="11" t="s">
        <v>31</v>
      </c>
    </row>
    <row r="9" customFormat="false" ht="15" hidden="false" customHeight="false" outlineLevel="0" collapsed="false">
      <c r="A9" s="4" t="n">
        <v>5</v>
      </c>
      <c r="B9" s="5" t="s">
        <v>21</v>
      </c>
      <c r="C9" s="5" t="s">
        <v>45</v>
      </c>
      <c r="D9" s="5" t="s">
        <v>41</v>
      </c>
      <c r="E9" s="5" t="s">
        <v>32</v>
      </c>
      <c r="F9" s="5" t="s">
        <v>25</v>
      </c>
      <c r="G9" s="4" t="n">
        <v>84</v>
      </c>
      <c r="H9" s="5"/>
      <c r="I9" s="6" t="s">
        <v>46</v>
      </c>
      <c r="J9" s="5" t="s">
        <v>44</v>
      </c>
      <c r="K9" s="7" t="n">
        <v>460</v>
      </c>
      <c r="L9" s="7" t="n">
        <v>670</v>
      </c>
      <c r="M9" s="8" t="n">
        <f aca="false">L9-K9</f>
        <v>210</v>
      </c>
      <c r="N9" s="9" t="n">
        <f aca="false">IFERROR((L9-K9)/L9,"")</f>
        <v>0.313432835820896</v>
      </c>
      <c r="O9" s="4" t="n">
        <v>1</v>
      </c>
      <c r="P9" s="5" t="s">
        <v>28</v>
      </c>
      <c r="Q9" s="5" t="s">
        <v>29</v>
      </c>
      <c r="R9" s="5" t="s">
        <v>30</v>
      </c>
      <c r="S9" s="5" t="s">
        <v>31</v>
      </c>
    </row>
    <row r="10" customFormat="false" ht="15" hidden="false" customHeight="false" outlineLevel="0" collapsed="false">
      <c r="A10" s="10" t="n">
        <v>6</v>
      </c>
      <c r="B10" s="11" t="s">
        <v>21</v>
      </c>
      <c r="C10" s="11" t="s">
        <v>45</v>
      </c>
      <c r="D10" s="11" t="s">
        <v>37</v>
      </c>
      <c r="E10" s="11" t="s">
        <v>32</v>
      </c>
      <c r="F10" s="11" t="s">
        <v>42</v>
      </c>
      <c r="G10" s="10" t="n">
        <v>100</v>
      </c>
      <c r="H10" s="11"/>
      <c r="I10" s="12" t="s">
        <v>47</v>
      </c>
      <c r="J10" s="11" t="s">
        <v>44</v>
      </c>
      <c r="K10" s="13" t="n">
        <v>679</v>
      </c>
      <c r="L10" s="13" t="n">
        <v>850</v>
      </c>
      <c r="M10" s="14" t="n">
        <f aca="false">L10-K10</f>
        <v>171</v>
      </c>
      <c r="N10" s="15" t="n">
        <f aca="false">IFERROR((L10-K10)/L10,"")</f>
        <v>0.201176470588235</v>
      </c>
      <c r="O10" s="10" t="n">
        <v>1</v>
      </c>
      <c r="P10" s="11" t="s">
        <v>28</v>
      </c>
      <c r="Q10" s="11" t="s">
        <v>29</v>
      </c>
      <c r="R10" s="11" t="s">
        <v>30</v>
      </c>
      <c r="S10" s="11" t="s">
        <v>31</v>
      </c>
    </row>
    <row r="11" customFormat="false" ht="15" hidden="false" customHeight="false" outlineLevel="0" collapsed="false">
      <c r="A11" s="4" t="n">
        <v>7</v>
      </c>
      <c r="B11" s="5" t="s">
        <v>21</v>
      </c>
      <c r="C11" s="5" t="s">
        <v>45</v>
      </c>
      <c r="D11" s="5" t="s">
        <v>48</v>
      </c>
      <c r="E11" s="5" t="s">
        <v>32</v>
      </c>
      <c r="F11" s="5" t="s">
        <v>42</v>
      </c>
      <c r="G11" s="4" t="n">
        <v>100</v>
      </c>
      <c r="H11" s="5"/>
      <c r="I11" s="6" t="s">
        <v>49</v>
      </c>
      <c r="J11" s="5" t="s">
        <v>50</v>
      </c>
      <c r="K11" s="7" t="n">
        <v>633</v>
      </c>
      <c r="L11" s="7" t="n">
        <v>850</v>
      </c>
      <c r="M11" s="8" t="n">
        <f aca="false">L11-K11</f>
        <v>217</v>
      </c>
      <c r="N11" s="9" t="n">
        <f aca="false">IFERROR((L11-K11)/L11,"")</f>
        <v>0.255294117647059</v>
      </c>
      <c r="O11" s="4" t="n">
        <v>1</v>
      </c>
      <c r="P11" s="5" t="s">
        <v>28</v>
      </c>
      <c r="Q11" s="5" t="s">
        <v>29</v>
      </c>
      <c r="R11" s="5" t="s">
        <v>30</v>
      </c>
      <c r="S11" s="5" t="s">
        <v>31</v>
      </c>
    </row>
    <row r="12" customFormat="false" ht="15" hidden="false" customHeight="false" outlineLevel="0" collapsed="false">
      <c r="A12" s="10" t="n">
        <v>8</v>
      </c>
      <c r="B12" s="11" t="s">
        <v>21</v>
      </c>
      <c r="C12" s="11" t="s">
        <v>51</v>
      </c>
      <c r="D12" s="11" t="s">
        <v>48</v>
      </c>
      <c r="E12" s="11" t="s">
        <v>52</v>
      </c>
      <c r="F12" s="11" t="s">
        <v>53</v>
      </c>
      <c r="G12" s="10" t="n">
        <v>86</v>
      </c>
      <c r="H12" s="11" t="s">
        <v>54</v>
      </c>
      <c r="I12" s="12" t="s">
        <v>55</v>
      </c>
      <c r="J12" s="11" t="s">
        <v>56</v>
      </c>
      <c r="K12" s="13" t="n">
        <v>230</v>
      </c>
      <c r="L12" s="13" t="n">
        <v>330</v>
      </c>
      <c r="M12" s="14" t="n">
        <f aca="false">L12-K12</f>
        <v>100</v>
      </c>
      <c r="N12" s="15" t="n">
        <f aca="false">IFERROR((L12-K12)/L12,"")</f>
        <v>0.303030303030303</v>
      </c>
      <c r="O12" s="10" t="n">
        <v>1</v>
      </c>
      <c r="P12" s="11" t="s">
        <v>28</v>
      </c>
      <c r="Q12" s="11" t="s">
        <v>29</v>
      </c>
      <c r="R12" s="11" t="s">
        <v>30</v>
      </c>
      <c r="S12" s="11" t="s">
        <v>31</v>
      </c>
    </row>
    <row r="13" customFormat="false" ht="15" hidden="false" customHeight="false" outlineLevel="0" collapsed="false">
      <c r="A13" s="4" t="n">
        <v>9</v>
      </c>
      <c r="B13" s="5" t="s">
        <v>21</v>
      </c>
      <c r="C13" s="5" t="s">
        <v>51</v>
      </c>
      <c r="D13" s="5" t="s">
        <v>37</v>
      </c>
      <c r="E13" s="5" t="s">
        <v>57</v>
      </c>
      <c r="F13" s="5" t="s">
        <v>53</v>
      </c>
      <c r="G13" s="4" t="n">
        <v>82</v>
      </c>
      <c r="H13" s="5"/>
      <c r="I13" s="6" t="s">
        <v>58</v>
      </c>
      <c r="J13" s="5" t="s">
        <v>59</v>
      </c>
      <c r="K13" s="7" t="n">
        <v>571</v>
      </c>
      <c r="L13" s="7" t="n">
        <v>740</v>
      </c>
      <c r="M13" s="8" t="n">
        <f aca="false">L13-K13</f>
        <v>169</v>
      </c>
      <c r="N13" s="9" t="n">
        <f aca="false">IFERROR((L13-K13)/L13,"")</f>
        <v>0.228378378378378</v>
      </c>
      <c r="O13" s="4" t="n">
        <v>1</v>
      </c>
      <c r="P13" s="5" t="s">
        <v>28</v>
      </c>
      <c r="Q13" s="5" t="s">
        <v>29</v>
      </c>
      <c r="R13" s="5" t="s">
        <v>30</v>
      </c>
      <c r="S13" s="5" t="s">
        <v>31</v>
      </c>
    </row>
    <row r="14" customFormat="false" ht="15" hidden="false" customHeight="false" outlineLevel="0" collapsed="false">
      <c r="A14" s="10" t="n">
        <v>10</v>
      </c>
      <c r="B14" s="11" t="s">
        <v>21</v>
      </c>
      <c r="C14" s="11" t="s">
        <v>60</v>
      </c>
      <c r="D14" s="11" t="s">
        <v>61</v>
      </c>
      <c r="E14" s="11" t="s">
        <v>32</v>
      </c>
      <c r="F14" s="11" t="s">
        <v>33</v>
      </c>
      <c r="G14" s="10" t="n">
        <v>87</v>
      </c>
      <c r="H14" s="11"/>
      <c r="I14" s="12" t="s">
        <v>62</v>
      </c>
      <c r="J14" s="11" t="s">
        <v>63</v>
      </c>
      <c r="K14" s="13" t="n">
        <v>550</v>
      </c>
      <c r="L14" s="13" t="n">
        <v>710</v>
      </c>
      <c r="M14" s="14" t="n">
        <f aca="false">L14-K14</f>
        <v>160</v>
      </c>
      <c r="N14" s="15" t="n">
        <f aca="false">IFERROR((L14-K14)/L14,"")</f>
        <v>0.225352112676056</v>
      </c>
      <c r="O14" s="10" t="n">
        <v>1</v>
      </c>
      <c r="P14" s="11" t="s">
        <v>28</v>
      </c>
      <c r="Q14" s="11" t="s">
        <v>29</v>
      </c>
      <c r="R14" s="11" t="s">
        <v>30</v>
      </c>
      <c r="S14" s="11" t="s">
        <v>31</v>
      </c>
    </row>
    <row r="15" customFormat="false" ht="15" hidden="false" customHeight="false" outlineLevel="0" collapsed="false">
      <c r="A15" s="4" t="n">
        <v>11</v>
      </c>
      <c r="B15" s="5" t="s">
        <v>21</v>
      </c>
      <c r="C15" s="5" t="s">
        <v>60</v>
      </c>
      <c r="D15" s="5" t="s">
        <v>41</v>
      </c>
      <c r="E15" s="5" t="s">
        <v>32</v>
      </c>
      <c r="F15" s="5" t="s">
        <v>25</v>
      </c>
      <c r="G15" s="4" t="n">
        <v>89</v>
      </c>
      <c r="H15" s="5" t="s">
        <v>64</v>
      </c>
      <c r="I15" s="6" t="s">
        <v>65</v>
      </c>
      <c r="J15" s="5" t="s">
        <v>56</v>
      </c>
      <c r="K15" s="7" t="n">
        <v>419</v>
      </c>
      <c r="L15" s="7" t="n">
        <v>560</v>
      </c>
      <c r="M15" s="8" t="n">
        <f aca="false">L15-K15</f>
        <v>141</v>
      </c>
      <c r="N15" s="9" t="n">
        <f aca="false">IFERROR((L15-K15)/L15,"")</f>
        <v>0.251785714285714</v>
      </c>
      <c r="O15" s="4" t="n">
        <v>1</v>
      </c>
      <c r="P15" s="5" t="s">
        <v>28</v>
      </c>
      <c r="Q15" s="5" t="s">
        <v>29</v>
      </c>
      <c r="R15" s="5" t="s">
        <v>30</v>
      </c>
      <c r="S15" s="5" t="s">
        <v>31</v>
      </c>
    </row>
    <row r="16" customFormat="false" ht="15" hidden="false" customHeight="false" outlineLevel="0" collapsed="false">
      <c r="A16" s="10" t="n">
        <v>12</v>
      </c>
      <c r="B16" s="11" t="s">
        <v>21</v>
      </c>
      <c r="C16" s="11" t="s">
        <v>66</v>
      </c>
      <c r="D16" s="11" t="s">
        <v>37</v>
      </c>
      <c r="E16" s="11" t="s">
        <v>24</v>
      </c>
      <c r="F16" s="11" t="s">
        <v>53</v>
      </c>
      <c r="G16" s="10" t="n">
        <v>76</v>
      </c>
      <c r="H16" s="11" t="s">
        <v>67</v>
      </c>
      <c r="I16" s="12" t="s">
        <v>68</v>
      </c>
      <c r="J16" s="11" t="s">
        <v>69</v>
      </c>
      <c r="K16" s="13" t="n">
        <v>629</v>
      </c>
      <c r="L16" s="13" t="n">
        <v>880</v>
      </c>
      <c r="M16" s="14" t="n">
        <f aca="false">L16-K16</f>
        <v>251</v>
      </c>
      <c r="N16" s="15" t="n">
        <f aca="false">IFERROR((L16-K16)/L16,"")</f>
        <v>0.285227272727273</v>
      </c>
      <c r="O16" s="10" t="n">
        <v>1</v>
      </c>
      <c r="P16" s="11" t="s">
        <v>28</v>
      </c>
      <c r="Q16" s="11" t="s">
        <v>29</v>
      </c>
      <c r="R16" s="11" t="s">
        <v>30</v>
      </c>
      <c r="S16" s="11" t="s">
        <v>31</v>
      </c>
    </row>
    <row r="17" customFormat="false" ht="15" hidden="false" customHeight="false" outlineLevel="0" collapsed="false">
      <c r="A17" s="4" t="n">
        <v>13</v>
      </c>
      <c r="B17" s="5" t="s">
        <v>21</v>
      </c>
      <c r="C17" s="5" t="s">
        <v>70</v>
      </c>
      <c r="D17" s="5" t="s">
        <v>48</v>
      </c>
      <c r="E17" s="5" t="s">
        <v>71</v>
      </c>
      <c r="F17" s="5" t="s">
        <v>25</v>
      </c>
      <c r="G17" s="4" t="n">
        <v>99</v>
      </c>
      <c r="H17" s="5"/>
      <c r="I17" s="6" t="s">
        <v>72</v>
      </c>
      <c r="J17" s="5" t="s">
        <v>27</v>
      </c>
      <c r="K17" s="7" t="n">
        <v>1347</v>
      </c>
      <c r="L17" s="7" t="n">
        <v>1850</v>
      </c>
      <c r="M17" s="8" t="n">
        <f aca="false">L17-K17</f>
        <v>503</v>
      </c>
      <c r="N17" s="9" t="n">
        <f aca="false">IFERROR((L17-K17)/L17,"")</f>
        <v>0.271891891891892</v>
      </c>
      <c r="O17" s="4" t="n">
        <v>1</v>
      </c>
      <c r="P17" s="5" t="s">
        <v>28</v>
      </c>
      <c r="Q17" s="5" t="s">
        <v>29</v>
      </c>
      <c r="R17" s="5" t="s">
        <v>30</v>
      </c>
      <c r="S17" s="5" t="s">
        <v>31</v>
      </c>
    </row>
    <row r="18" customFormat="false" ht="15" hidden="false" customHeight="false" outlineLevel="0" collapsed="false">
      <c r="A18" s="10" t="n">
        <v>14</v>
      </c>
      <c r="B18" s="11" t="s">
        <v>21</v>
      </c>
      <c r="C18" s="11" t="s">
        <v>73</v>
      </c>
      <c r="D18" s="11" t="s">
        <v>41</v>
      </c>
      <c r="E18" s="11" t="s">
        <v>74</v>
      </c>
      <c r="F18" s="11" t="s">
        <v>53</v>
      </c>
      <c r="G18" s="10" t="n">
        <v>77</v>
      </c>
      <c r="H18" s="11" t="s">
        <v>67</v>
      </c>
      <c r="I18" s="12" t="s">
        <v>75</v>
      </c>
      <c r="J18" s="11" t="s">
        <v>59</v>
      </c>
      <c r="K18" s="13" t="n">
        <v>690</v>
      </c>
      <c r="L18" s="13" t="n">
        <v>980</v>
      </c>
      <c r="M18" s="14" t="n">
        <f aca="false">L18-K18</f>
        <v>290</v>
      </c>
      <c r="N18" s="15" t="n">
        <f aca="false">IFERROR((L18-K18)/L18,"")</f>
        <v>0.295918367346939</v>
      </c>
      <c r="O18" s="10" t="n">
        <v>1</v>
      </c>
      <c r="P18" s="11" t="s">
        <v>28</v>
      </c>
      <c r="Q18" s="11" t="s">
        <v>29</v>
      </c>
      <c r="R18" s="11" t="s">
        <v>30</v>
      </c>
      <c r="S18" s="11" t="s">
        <v>31</v>
      </c>
    </row>
    <row r="19" customFormat="false" ht="15" hidden="false" customHeight="false" outlineLevel="0" collapsed="false">
      <c r="A19" s="4" t="n">
        <v>15</v>
      </c>
      <c r="B19" s="5" t="s">
        <v>21</v>
      </c>
      <c r="C19" s="5" t="s">
        <v>73</v>
      </c>
      <c r="D19" s="5" t="s">
        <v>48</v>
      </c>
      <c r="E19" s="5" t="s">
        <v>57</v>
      </c>
      <c r="F19" s="5" t="s">
        <v>33</v>
      </c>
      <c r="G19" s="4" t="n">
        <v>80</v>
      </c>
      <c r="H19" s="5" t="s">
        <v>64</v>
      </c>
      <c r="I19" s="6" t="s">
        <v>76</v>
      </c>
      <c r="J19" s="5" t="s">
        <v>77</v>
      </c>
      <c r="K19" s="7" t="n">
        <v>401</v>
      </c>
      <c r="L19" s="7" t="n">
        <v>560</v>
      </c>
      <c r="M19" s="8" t="n">
        <f aca="false">L19-K19</f>
        <v>159</v>
      </c>
      <c r="N19" s="9" t="n">
        <f aca="false">IFERROR((L19-K19)/L19,"")</f>
        <v>0.283928571428571</v>
      </c>
      <c r="O19" s="4" t="n">
        <v>1</v>
      </c>
      <c r="P19" s="5" t="s">
        <v>28</v>
      </c>
      <c r="Q19" s="5" t="s">
        <v>29</v>
      </c>
      <c r="R19" s="5" t="s">
        <v>30</v>
      </c>
      <c r="S19" s="5" t="s">
        <v>31</v>
      </c>
    </row>
    <row r="20" customFormat="false" ht="15" hidden="false" customHeight="false" outlineLevel="0" collapsed="false">
      <c r="A20" s="10" t="n">
        <v>16</v>
      </c>
      <c r="B20" s="11" t="s">
        <v>21</v>
      </c>
      <c r="C20" s="11" t="s">
        <v>73</v>
      </c>
      <c r="D20" s="11" t="s">
        <v>37</v>
      </c>
      <c r="E20" s="11" t="s">
        <v>74</v>
      </c>
      <c r="F20" s="11" t="s">
        <v>33</v>
      </c>
      <c r="G20" s="10" t="n">
        <v>94</v>
      </c>
      <c r="H20" s="11" t="s">
        <v>64</v>
      </c>
      <c r="I20" s="12" t="s">
        <v>78</v>
      </c>
      <c r="J20" s="11" t="s">
        <v>40</v>
      </c>
      <c r="K20" s="13" t="n">
        <v>481</v>
      </c>
      <c r="L20" s="13" t="n">
        <v>660</v>
      </c>
      <c r="M20" s="14" t="n">
        <f aca="false">L20-K20</f>
        <v>179</v>
      </c>
      <c r="N20" s="15" t="n">
        <f aca="false">IFERROR((L20-K20)/L20,"")</f>
        <v>0.271212121212121</v>
      </c>
      <c r="O20" s="10" t="n">
        <v>1</v>
      </c>
      <c r="P20" s="11" t="s">
        <v>28</v>
      </c>
      <c r="Q20" s="11" t="s">
        <v>29</v>
      </c>
      <c r="R20" s="11" t="s">
        <v>30</v>
      </c>
      <c r="S20" s="11" t="s">
        <v>31</v>
      </c>
    </row>
    <row r="21" customFormat="false" ht="15" hidden="false" customHeight="false" outlineLevel="0" collapsed="false">
      <c r="A21" s="4" t="n">
        <v>17</v>
      </c>
      <c r="B21" s="5" t="s">
        <v>21</v>
      </c>
      <c r="C21" s="5" t="s">
        <v>79</v>
      </c>
      <c r="D21" s="5" t="s">
        <v>41</v>
      </c>
      <c r="E21" s="5" t="s">
        <v>74</v>
      </c>
      <c r="F21" s="5" t="s">
        <v>53</v>
      </c>
      <c r="G21" s="4" t="n">
        <v>78</v>
      </c>
      <c r="H21" s="5" t="s">
        <v>80</v>
      </c>
      <c r="I21" s="6" t="s">
        <v>81</v>
      </c>
      <c r="J21" s="5" t="s">
        <v>63</v>
      </c>
      <c r="K21" s="7" t="n">
        <v>824</v>
      </c>
      <c r="L21" s="7" t="n">
        <v>1050</v>
      </c>
      <c r="M21" s="8" t="n">
        <f aca="false">L21-K21</f>
        <v>226</v>
      </c>
      <c r="N21" s="9" t="n">
        <f aca="false">IFERROR((L21-K21)/L21,"")</f>
        <v>0.215238095238095</v>
      </c>
      <c r="O21" s="4" t="n">
        <v>1</v>
      </c>
      <c r="P21" s="5" t="s">
        <v>28</v>
      </c>
      <c r="Q21" s="5" t="s">
        <v>29</v>
      </c>
      <c r="R21" s="5" t="s">
        <v>30</v>
      </c>
      <c r="S21" s="5" t="s">
        <v>31</v>
      </c>
    </row>
    <row r="22" customFormat="false" ht="15" hidden="false" customHeight="false" outlineLevel="0" collapsed="false">
      <c r="A22" s="10" t="n">
        <v>18</v>
      </c>
      <c r="B22" s="11" t="s">
        <v>21</v>
      </c>
      <c r="C22" s="11" t="s">
        <v>82</v>
      </c>
      <c r="D22" s="11" t="s">
        <v>37</v>
      </c>
      <c r="E22" s="11" t="s">
        <v>83</v>
      </c>
      <c r="F22" s="11" t="s">
        <v>33</v>
      </c>
      <c r="G22" s="10" t="n">
        <v>81</v>
      </c>
      <c r="H22" s="11"/>
      <c r="I22" s="12" t="s">
        <v>84</v>
      </c>
      <c r="J22" s="11" t="s">
        <v>56</v>
      </c>
      <c r="K22" s="13" t="n">
        <v>967</v>
      </c>
      <c r="L22" s="13" t="n">
        <v>1340</v>
      </c>
      <c r="M22" s="14" t="n">
        <f aca="false">L22-K22</f>
        <v>373</v>
      </c>
      <c r="N22" s="15" t="n">
        <f aca="false">IFERROR((L22-K22)/L22,"")</f>
        <v>0.278358208955224</v>
      </c>
      <c r="O22" s="10" t="n">
        <v>1</v>
      </c>
      <c r="P22" s="11" t="s">
        <v>28</v>
      </c>
      <c r="Q22" s="11" t="s">
        <v>29</v>
      </c>
      <c r="R22" s="11" t="s">
        <v>30</v>
      </c>
      <c r="S22" s="11" t="s">
        <v>31</v>
      </c>
    </row>
    <row r="23" customFormat="false" ht="15" hidden="false" customHeight="false" outlineLevel="0" collapsed="false">
      <c r="A23" s="4" t="n">
        <v>19</v>
      </c>
      <c r="B23" s="5" t="s">
        <v>21</v>
      </c>
      <c r="C23" s="5" t="s">
        <v>82</v>
      </c>
      <c r="D23" s="5" t="s">
        <v>61</v>
      </c>
      <c r="E23" s="5" t="s">
        <v>83</v>
      </c>
      <c r="F23" s="5" t="s">
        <v>25</v>
      </c>
      <c r="G23" s="4" t="n">
        <v>98</v>
      </c>
      <c r="H23" s="5"/>
      <c r="I23" s="6" t="s">
        <v>85</v>
      </c>
      <c r="J23" s="5" t="s">
        <v>86</v>
      </c>
      <c r="K23" s="7" t="n">
        <v>1499</v>
      </c>
      <c r="L23" s="7" t="n">
        <v>2070</v>
      </c>
      <c r="M23" s="8" t="n">
        <f aca="false">L23-K23</f>
        <v>571</v>
      </c>
      <c r="N23" s="9" t="n">
        <f aca="false">IFERROR((L23-K23)/L23,"")</f>
        <v>0.275845410628019</v>
      </c>
      <c r="O23" s="4" t="n">
        <v>1</v>
      </c>
      <c r="P23" s="5" t="s">
        <v>28</v>
      </c>
      <c r="Q23" s="5" t="s">
        <v>29</v>
      </c>
      <c r="R23" s="5" t="s">
        <v>30</v>
      </c>
      <c r="S23" s="5" t="s">
        <v>31</v>
      </c>
    </row>
    <row r="24" customFormat="false" ht="15" hidden="false" customHeight="false" outlineLevel="0" collapsed="false">
      <c r="A24" s="10" t="n">
        <v>20</v>
      </c>
      <c r="B24" s="11" t="s">
        <v>21</v>
      </c>
      <c r="C24" s="11" t="s">
        <v>82</v>
      </c>
      <c r="D24" s="11" t="s">
        <v>37</v>
      </c>
      <c r="E24" s="11" t="s">
        <v>83</v>
      </c>
      <c r="F24" s="11" t="s">
        <v>25</v>
      </c>
      <c r="G24" s="10" t="n">
        <v>80</v>
      </c>
      <c r="H24" s="11"/>
      <c r="I24" s="12" t="s">
        <v>87</v>
      </c>
      <c r="J24" s="11" t="s">
        <v>88</v>
      </c>
      <c r="K24" s="13" t="n">
        <v>1311</v>
      </c>
      <c r="L24" s="13" t="n">
        <v>1820</v>
      </c>
      <c r="M24" s="14" t="n">
        <f aca="false">L24-K24</f>
        <v>509</v>
      </c>
      <c r="N24" s="15" t="n">
        <f aca="false">IFERROR((L24-K24)/L24,"")</f>
        <v>0.27967032967033</v>
      </c>
      <c r="O24" s="10" t="n">
        <v>1</v>
      </c>
      <c r="P24" s="11" t="s">
        <v>28</v>
      </c>
      <c r="Q24" s="11" t="s">
        <v>29</v>
      </c>
      <c r="R24" s="11" t="s">
        <v>30</v>
      </c>
      <c r="S24" s="11" t="s">
        <v>31</v>
      </c>
    </row>
    <row r="25" customFormat="false" ht="15" hidden="false" customHeight="false" outlineLevel="0" collapsed="false">
      <c r="A25" s="4" t="n">
        <v>21</v>
      </c>
      <c r="B25" s="5" t="s">
        <v>21</v>
      </c>
      <c r="C25" s="5" t="s">
        <v>89</v>
      </c>
      <c r="D25" s="5" t="s">
        <v>48</v>
      </c>
      <c r="E25" s="5" t="s">
        <v>83</v>
      </c>
      <c r="F25" s="5" t="s">
        <v>33</v>
      </c>
      <c r="G25" s="4" t="n">
        <v>90</v>
      </c>
      <c r="H25" s="5"/>
      <c r="I25" s="6" t="s">
        <v>90</v>
      </c>
      <c r="J25" s="5" t="s">
        <v>35</v>
      </c>
      <c r="K25" s="7" t="n">
        <v>1194</v>
      </c>
      <c r="L25" s="7" t="n">
        <v>1730</v>
      </c>
      <c r="M25" s="8" t="n">
        <f aca="false">L25-K25</f>
        <v>536</v>
      </c>
      <c r="N25" s="9" t="n">
        <f aca="false">IFERROR((L25-K25)/L25,"")</f>
        <v>0.309826589595376</v>
      </c>
      <c r="O25" s="4" t="n">
        <v>1</v>
      </c>
      <c r="P25" s="5" t="s">
        <v>28</v>
      </c>
      <c r="Q25" s="5" t="s">
        <v>29</v>
      </c>
      <c r="R25" s="5" t="s">
        <v>30</v>
      </c>
      <c r="S25" s="5" t="s">
        <v>31</v>
      </c>
    </row>
    <row r="26" customFormat="false" ht="15" hidden="false" customHeight="false" outlineLevel="0" collapsed="false">
      <c r="A26" s="10" t="n">
        <v>22</v>
      </c>
      <c r="B26" s="11" t="s">
        <v>21</v>
      </c>
      <c r="C26" s="11" t="s">
        <v>91</v>
      </c>
      <c r="D26" s="11" t="s">
        <v>37</v>
      </c>
      <c r="E26" s="11" t="s">
        <v>92</v>
      </c>
      <c r="F26" s="11" t="s">
        <v>25</v>
      </c>
      <c r="G26" s="10" t="n">
        <v>84</v>
      </c>
      <c r="H26" s="11"/>
      <c r="I26" s="12" t="s">
        <v>93</v>
      </c>
      <c r="J26" s="11" t="s">
        <v>86</v>
      </c>
      <c r="K26" s="13" t="n">
        <v>1408</v>
      </c>
      <c r="L26" s="13" t="n">
        <v>1900</v>
      </c>
      <c r="M26" s="14" t="n">
        <f aca="false">L26-K26</f>
        <v>492</v>
      </c>
      <c r="N26" s="15" t="n">
        <f aca="false">IFERROR((L26-K26)/L26,"")</f>
        <v>0.258947368421053</v>
      </c>
      <c r="O26" s="10" t="n">
        <v>1</v>
      </c>
      <c r="P26" s="11" t="s">
        <v>28</v>
      </c>
      <c r="Q26" s="11" t="s">
        <v>29</v>
      </c>
      <c r="R26" s="11" t="s">
        <v>30</v>
      </c>
      <c r="S26" s="11" t="s">
        <v>31</v>
      </c>
    </row>
    <row r="27" customFormat="false" ht="15" hidden="false" customHeight="false" outlineLevel="0" collapsed="false">
      <c r="A27" s="4" t="n">
        <v>23</v>
      </c>
      <c r="B27" s="5" t="s">
        <v>21</v>
      </c>
      <c r="C27" s="5" t="s">
        <v>91</v>
      </c>
      <c r="D27" s="5" t="s">
        <v>61</v>
      </c>
      <c r="E27" s="5" t="s">
        <v>94</v>
      </c>
      <c r="F27" s="5" t="s">
        <v>25</v>
      </c>
      <c r="G27" s="4" t="n">
        <v>92</v>
      </c>
      <c r="H27" s="5"/>
      <c r="I27" s="6" t="s">
        <v>95</v>
      </c>
      <c r="J27" s="5" t="s">
        <v>50</v>
      </c>
      <c r="K27" s="7" t="n">
        <v>1614</v>
      </c>
      <c r="L27" s="7" t="n">
        <v>2100</v>
      </c>
      <c r="M27" s="8" t="n">
        <f aca="false">L27-K27</f>
        <v>486</v>
      </c>
      <c r="N27" s="9" t="n">
        <f aca="false">IFERROR((L27-K27)/L27,"")</f>
        <v>0.231428571428571</v>
      </c>
      <c r="O27" s="4" t="n">
        <v>1</v>
      </c>
      <c r="P27" s="5" t="s">
        <v>28</v>
      </c>
      <c r="Q27" s="5" t="s">
        <v>29</v>
      </c>
      <c r="R27" s="5" t="s">
        <v>30</v>
      </c>
      <c r="S27" s="5" t="s">
        <v>31</v>
      </c>
    </row>
    <row r="28" customFormat="false" ht="15" hidden="false" customHeight="false" outlineLevel="0" collapsed="false">
      <c r="A28" s="10" t="n">
        <v>24</v>
      </c>
      <c r="B28" s="11" t="s">
        <v>21</v>
      </c>
      <c r="C28" s="11" t="s">
        <v>96</v>
      </c>
      <c r="D28" s="11" t="s">
        <v>61</v>
      </c>
      <c r="E28" s="11" t="s">
        <v>32</v>
      </c>
      <c r="F28" s="11" t="s">
        <v>42</v>
      </c>
      <c r="G28" s="10" t="n">
        <v>100</v>
      </c>
      <c r="H28" s="11"/>
      <c r="I28" s="12" t="s">
        <v>97</v>
      </c>
      <c r="J28" s="11" t="s">
        <v>63</v>
      </c>
      <c r="K28" s="13" t="n">
        <v>2105</v>
      </c>
      <c r="L28" s="13" t="n">
        <v>2900</v>
      </c>
      <c r="M28" s="14" t="n">
        <f aca="false">L28-K28</f>
        <v>795</v>
      </c>
      <c r="N28" s="15" t="n">
        <f aca="false">IFERROR((L28-K28)/L28,"")</f>
        <v>0.274137931034483</v>
      </c>
      <c r="O28" s="10" t="n">
        <v>1</v>
      </c>
      <c r="P28" s="11" t="s">
        <v>28</v>
      </c>
      <c r="Q28" s="11" t="s">
        <v>29</v>
      </c>
      <c r="R28" s="11" t="s">
        <v>30</v>
      </c>
      <c r="S28" s="11" t="s">
        <v>31</v>
      </c>
    </row>
    <row r="29" customFormat="false" ht="15" hidden="false" customHeight="false" outlineLevel="0" collapsed="false">
      <c r="A29" s="4" t="n">
        <v>25</v>
      </c>
      <c r="B29" s="5" t="s">
        <v>21</v>
      </c>
      <c r="C29" s="5" t="s">
        <v>96</v>
      </c>
      <c r="D29" s="5" t="s">
        <v>61</v>
      </c>
      <c r="E29" s="5" t="s">
        <v>32</v>
      </c>
      <c r="F29" s="5" t="s">
        <v>33</v>
      </c>
      <c r="G29" s="4" t="n">
        <v>98</v>
      </c>
      <c r="H29" s="5" t="s">
        <v>98</v>
      </c>
      <c r="I29" s="6" t="s">
        <v>99</v>
      </c>
      <c r="J29" s="5" t="s">
        <v>56</v>
      </c>
      <c r="K29" s="7" t="n">
        <v>1318</v>
      </c>
      <c r="L29" s="7" t="n">
        <v>1790</v>
      </c>
      <c r="M29" s="8" t="n">
        <f aca="false">L29-K29</f>
        <v>472</v>
      </c>
      <c r="N29" s="9" t="n">
        <f aca="false">IFERROR((L29-K29)/L29,"")</f>
        <v>0.263687150837989</v>
      </c>
      <c r="O29" s="4" t="n">
        <v>1</v>
      </c>
      <c r="P29" s="5" t="s">
        <v>28</v>
      </c>
      <c r="Q29" s="5" t="s">
        <v>29</v>
      </c>
      <c r="R29" s="5" t="s">
        <v>30</v>
      </c>
      <c r="S29" s="5" t="s">
        <v>31</v>
      </c>
    </row>
    <row r="30" customFormat="false" ht="15" hidden="false" customHeight="false" outlineLevel="0" collapsed="false">
      <c r="A30" s="10" t="n">
        <v>26</v>
      </c>
      <c r="B30" s="11" t="s">
        <v>21</v>
      </c>
      <c r="C30" s="11" t="s">
        <v>100</v>
      </c>
      <c r="D30" s="11" t="s">
        <v>48</v>
      </c>
      <c r="E30" s="11" t="s">
        <v>101</v>
      </c>
      <c r="F30" s="11" t="s">
        <v>53</v>
      </c>
      <c r="G30" s="10" t="n">
        <v>98</v>
      </c>
      <c r="H30" s="11" t="s">
        <v>80</v>
      </c>
      <c r="I30" s="12" t="s">
        <v>102</v>
      </c>
      <c r="J30" s="11" t="s">
        <v>44</v>
      </c>
      <c r="K30" s="13" t="n">
        <v>1859</v>
      </c>
      <c r="L30" s="13" t="n">
        <v>2520</v>
      </c>
      <c r="M30" s="14" t="n">
        <f aca="false">L30-K30</f>
        <v>661</v>
      </c>
      <c r="N30" s="15" t="n">
        <f aca="false">IFERROR((L30-K30)/L30,"")</f>
        <v>0.262301587301587</v>
      </c>
      <c r="O30" s="10" t="n">
        <v>1</v>
      </c>
      <c r="P30" s="11" t="s">
        <v>28</v>
      </c>
      <c r="Q30" s="11" t="s">
        <v>29</v>
      </c>
      <c r="R30" s="11" t="s">
        <v>30</v>
      </c>
      <c r="S30" s="11" t="s">
        <v>31</v>
      </c>
    </row>
    <row r="31" customFormat="false" ht="15" hidden="false" customHeight="false" outlineLevel="0" collapsed="false">
      <c r="A31" s="4" t="n">
        <v>27</v>
      </c>
      <c r="B31" s="5" t="s">
        <v>21</v>
      </c>
      <c r="C31" s="5" t="s">
        <v>100</v>
      </c>
      <c r="D31" s="5" t="s">
        <v>61</v>
      </c>
      <c r="E31" s="5" t="s">
        <v>103</v>
      </c>
      <c r="F31" s="5" t="s">
        <v>53</v>
      </c>
      <c r="G31" s="4" t="n">
        <v>89</v>
      </c>
      <c r="H31" s="5" t="s">
        <v>64</v>
      </c>
      <c r="I31" s="6" t="s">
        <v>104</v>
      </c>
      <c r="J31" s="5" t="s">
        <v>40</v>
      </c>
      <c r="K31" s="7" t="n">
        <v>1697</v>
      </c>
      <c r="L31" s="7" t="n">
        <v>2130</v>
      </c>
      <c r="M31" s="8" t="n">
        <f aca="false">L31-K31</f>
        <v>433</v>
      </c>
      <c r="N31" s="9" t="n">
        <f aca="false">IFERROR((L31-K31)/L31,"")</f>
        <v>0.203286384976526</v>
      </c>
      <c r="O31" s="4" t="n">
        <v>1</v>
      </c>
      <c r="P31" s="5" t="s">
        <v>28</v>
      </c>
      <c r="Q31" s="5" t="s">
        <v>29</v>
      </c>
      <c r="R31" s="5" t="s">
        <v>30</v>
      </c>
      <c r="S31" s="5" t="s">
        <v>31</v>
      </c>
    </row>
    <row r="32" customFormat="false" ht="15" hidden="false" customHeight="false" outlineLevel="0" collapsed="false">
      <c r="A32" s="10" t="n">
        <v>28</v>
      </c>
      <c r="B32" s="11" t="s">
        <v>21</v>
      </c>
      <c r="C32" s="11" t="s">
        <v>100</v>
      </c>
      <c r="D32" s="11" t="s">
        <v>48</v>
      </c>
      <c r="E32" s="11" t="s">
        <v>101</v>
      </c>
      <c r="F32" s="11" t="s">
        <v>42</v>
      </c>
      <c r="G32" s="10" t="n">
        <v>100</v>
      </c>
      <c r="H32" s="11"/>
      <c r="I32" s="12" t="s">
        <v>105</v>
      </c>
      <c r="J32" s="11" t="s">
        <v>50</v>
      </c>
      <c r="K32" s="13" t="n">
        <v>2447</v>
      </c>
      <c r="L32" s="13" t="n">
        <v>3400</v>
      </c>
      <c r="M32" s="14" t="n">
        <f aca="false">L32-K32</f>
        <v>953</v>
      </c>
      <c r="N32" s="15" t="n">
        <f aca="false">IFERROR((L32-K32)/L32,"")</f>
        <v>0.280294117647059</v>
      </c>
      <c r="O32" s="10" t="n">
        <v>1</v>
      </c>
      <c r="P32" s="11" t="s">
        <v>28</v>
      </c>
      <c r="Q32" s="11" t="s">
        <v>29</v>
      </c>
      <c r="R32" s="11" t="s">
        <v>30</v>
      </c>
      <c r="S32" s="11" t="s">
        <v>31</v>
      </c>
    </row>
    <row r="33" customFormat="false" ht="15" hidden="false" customHeight="false" outlineLevel="0" collapsed="false">
      <c r="A33" s="4" t="n">
        <v>29</v>
      </c>
      <c r="B33" s="5" t="s">
        <v>21</v>
      </c>
      <c r="C33" s="5" t="s">
        <v>106</v>
      </c>
      <c r="D33" s="5" t="s">
        <v>61</v>
      </c>
      <c r="E33" s="5" t="s">
        <v>107</v>
      </c>
      <c r="F33" s="5" t="s">
        <v>53</v>
      </c>
      <c r="G33" s="4" t="n">
        <v>83</v>
      </c>
      <c r="H33" s="5"/>
      <c r="I33" s="6" t="s">
        <v>108</v>
      </c>
      <c r="J33" s="5" t="s">
        <v>27</v>
      </c>
      <c r="K33" s="7" t="n">
        <v>1572</v>
      </c>
      <c r="L33" s="7" t="n">
        <v>2010</v>
      </c>
      <c r="M33" s="8" t="n">
        <f aca="false">L33-K33</f>
        <v>438</v>
      </c>
      <c r="N33" s="9" t="n">
        <f aca="false">IFERROR((L33-K33)/L33,"")</f>
        <v>0.217910447761194</v>
      </c>
      <c r="O33" s="4" t="n">
        <v>1</v>
      </c>
      <c r="P33" s="5" t="s">
        <v>28</v>
      </c>
      <c r="Q33" s="5" t="s">
        <v>29</v>
      </c>
      <c r="R33" s="5" t="s">
        <v>31</v>
      </c>
      <c r="S33" s="5" t="s">
        <v>31</v>
      </c>
    </row>
    <row r="34" customFormat="false" ht="15" hidden="false" customHeight="false" outlineLevel="0" collapsed="false">
      <c r="A34" s="10" t="n">
        <v>30</v>
      </c>
      <c r="B34" s="11" t="s">
        <v>21</v>
      </c>
      <c r="C34" s="11" t="s">
        <v>106</v>
      </c>
      <c r="D34" s="11" t="s">
        <v>37</v>
      </c>
      <c r="E34" s="11" t="s">
        <v>74</v>
      </c>
      <c r="F34" s="11" t="s">
        <v>53</v>
      </c>
      <c r="G34" s="10" t="n">
        <v>77</v>
      </c>
      <c r="H34" s="11"/>
      <c r="I34" s="12" t="s">
        <v>109</v>
      </c>
      <c r="J34" s="11" t="s">
        <v>40</v>
      </c>
      <c r="K34" s="13" t="n">
        <v>1291</v>
      </c>
      <c r="L34" s="13" t="n">
        <v>1820</v>
      </c>
      <c r="M34" s="14" t="n">
        <f aca="false">L34-K34</f>
        <v>529</v>
      </c>
      <c r="N34" s="15" t="n">
        <f aca="false">IFERROR((L34-K34)/L34,"")</f>
        <v>0.290659340659341</v>
      </c>
      <c r="O34" s="10" t="n">
        <v>1</v>
      </c>
      <c r="P34" s="11" t="s">
        <v>28</v>
      </c>
      <c r="Q34" s="11" t="s">
        <v>29</v>
      </c>
      <c r="R34" s="11" t="s">
        <v>31</v>
      </c>
      <c r="S34" s="11" t="s">
        <v>31</v>
      </c>
    </row>
    <row r="35" customFormat="false" ht="15" hidden="false" customHeight="false" outlineLevel="0" collapsed="false">
      <c r="A35" s="4" t="n">
        <v>31</v>
      </c>
      <c r="B35" s="5" t="s">
        <v>21</v>
      </c>
      <c r="C35" s="5" t="s">
        <v>106</v>
      </c>
      <c r="D35" s="5" t="s">
        <v>61</v>
      </c>
      <c r="E35" s="5" t="s">
        <v>52</v>
      </c>
      <c r="F35" s="5" t="s">
        <v>33</v>
      </c>
      <c r="G35" s="4" t="n">
        <v>91</v>
      </c>
      <c r="H35" s="5"/>
      <c r="I35" s="6" t="s">
        <v>110</v>
      </c>
      <c r="J35" s="5" t="s">
        <v>77</v>
      </c>
      <c r="K35" s="7" t="n">
        <v>1381</v>
      </c>
      <c r="L35" s="7" t="n">
        <v>1820</v>
      </c>
      <c r="M35" s="8" t="n">
        <f aca="false">L35-K35</f>
        <v>439</v>
      </c>
      <c r="N35" s="9" t="n">
        <f aca="false">IFERROR((L35-K35)/L35,"")</f>
        <v>0.241208791208791</v>
      </c>
      <c r="O35" s="4" t="n">
        <v>1</v>
      </c>
      <c r="P35" s="5" t="s">
        <v>28</v>
      </c>
      <c r="Q35" s="5" t="s">
        <v>29</v>
      </c>
      <c r="R35" s="5" t="s">
        <v>30</v>
      </c>
      <c r="S35" s="5" t="s">
        <v>31</v>
      </c>
    </row>
    <row r="36" customFormat="false" ht="15" hidden="false" customHeight="false" outlineLevel="0" collapsed="false">
      <c r="A36" s="10" t="n">
        <v>32</v>
      </c>
      <c r="B36" s="11" t="s">
        <v>21</v>
      </c>
      <c r="C36" s="11" t="s">
        <v>111</v>
      </c>
      <c r="D36" s="11" t="s">
        <v>48</v>
      </c>
      <c r="E36" s="11" t="s">
        <v>112</v>
      </c>
      <c r="F36" s="11" t="s">
        <v>42</v>
      </c>
      <c r="G36" s="10" t="n">
        <v>100</v>
      </c>
      <c r="H36" s="11"/>
      <c r="I36" s="12" t="s">
        <v>113</v>
      </c>
      <c r="J36" s="11" t="s">
        <v>44</v>
      </c>
      <c r="K36" s="13" t="n">
        <v>2224</v>
      </c>
      <c r="L36" s="13" t="n">
        <v>3200</v>
      </c>
      <c r="M36" s="14" t="n">
        <f aca="false">L36-K36</f>
        <v>976</v>
      </c>
      <c r="N36" s="15" t="n">
        <f aca="false">IFERROR((L36-K36)/L36,"")</f>
        <v>0.305</v>
      </c>
      <c r="O36" s="10" t="n">
        <v>1</v>
      </c>
      <c r="P36" s="11" t="s">
        <v>28</v>
      </c>
      <c r="Q36" s="11" t="s">
        <v>29</v>
      </c>
      <c r="R36" s="11" t="s">
        <v>31</v>
      </c>
      <c r="S36" s="11" t="s">
        <v>31</v>
      </c>
    </row>
    <row r="37" customFormat="false" ht="15" hidden="false" customHeight="false" outlineLevel="0" collapsed="false">
      <c r="A37" s="4" t="n">
        <v>33</v>
      </c>
      <c r="B37" s="5" t="s">
        <v>21</v>
      </c>
      <c r="C37" s="5" t="s">
        <v>114</v>
      </c>
      <c r="D37" s="5" t="s">
        <v>37</v>
      </c>
      <c r="E37" s="5" t="s">
        <v>32</v>
      </c>
      <c r="F37" s="5" t="s">
        <v>53</v>
      </c>
      <c r="G37" s="4" t="n">
        <v>99</v>
      </c>
      <c r="H37" s="5"/>
      <c r="I37" s="6" t="s">
        <v>115</v>
      </c>
      <c r="J37" s="5" t="s">
        <v>86</v>
      </c>
      <c r="K37" s="7" t="n">
        <v>2259</v>
      </c>
      <c r="L37" s="7" t="n">
        <v>3040</v>
      </c>
      <c r="M37" s="8" t="n">
        <f aca="false">L37-K37</f>
        <v>781</v>
      </c>
      <c r="N37" s="9" t="n">
        <f aca="false">IFERROR((L37-K37)/L37,"")</f>
        <v>0.256907894736842</v>
      </c>
      <c r="O37" s="4" t="n">
        <v>1</v>
      </c>
      <c r="P37" s="5" t="s">
        <v>28</v>
      </c>
      <c r="Q37" s="5" t="s">
        <v>29</v>
      </c>
      <c r="R37" s="5" t="s">
        <v>30</v>
      </c>
      <c r="S37" s="5" t="s">
        <v>31</v>
      </c>
    </row>
    <row r="38" customFormat="false" ht="15" hidden="false" customHeight="false" outlineLevel="0" collapsed="false">
      <c r="A38" s="10" t="n">
        <v>34</v>
      </c>
      <c r="B38" s="11" t="s">
        <v>21</v>
      </c>
      <c r="C38" s="11" t="s">
        <v>116</v>
      </c>
      <c r="D38" s="11" t="s">
        <v>48</v>
      </c>
      <c r="E38" s="11" t="s">
        <v>117</v>
      </c>
      <c r="F38" s="11" t="s">
        <v>53</v>
      </c>
      <c r="G38" s="10" t="n">
        <v>79</v>
      </c>
      <c r="H38" s="11"/>
      <c r="I38" s="12" t="s">
        <v>118</v>
      </c>
      <c r="J38" s="11" t="s">
        <v>86</v>
      </c>
      <c r="K38" s="13" t="n">
        <v>1985</v>
      </c>
      <c r="L38" s="13" t="n">
        <v>2820</v>
      </c>
      <c r="M38" s="14" t="n">
        <f aca="false">L38-K38</f>
        <v>835</v>
      </c>
      <c r="N38" s="15" t="n">
        <f aca="false">IFERROR((L38-K38)/L38,"")</f>
        <v>0.296099290780142</v>
      </c>
      <c r="O38" s="10" t="n">
        <v>1</v>
      </c>
      <c r="P38" s="11" t="s">
        <v>28</v>
      </c>
      <c r="Q38" s="11" t="s">
        <v>29</v>
      </c>
      <c r="R38" s="11" t="s">
        <v>30</v>
      </c>
      <c r="S38" s="11" t="s">
        <v>31</v>
      </c>
    </row>
    <row r="39" customFormat="false" ht="15" hidden="false" customHeight="false" outlineLevel="0" collapsed="false">
      <c r="A39" s="4" t="n">
        <v>35</v>
      </c>
      <c r="B39" s="5" t="s">
        <v>21</v>
      </c>
      <c r="C39" s="5" t="s">
        <v>116</v>
      </c>
      <c r="D39" s="5" t="s">
        <v>119</v>
      </c>
      <c r="E39" s="5" t="s">
        <v>120</v>
      </c>
      <c r="F39" s="5" t="s">
        <v>25</v>
      </c>
      <c r="G39" s="4" t="n">
        <v>94</v>
      </c>
      <c r="H39" s="5"/>
      <c r="I39" s="6" t="s">
        <v>121</v>
      </c>
      <c r="J39" s="5" t="s">
        <v>59</v>
      </c>
      <c r="K39" s="7" t="n">
        <v>3066</v>
      </c>
      <c r="L39" s="7" t="n">
        <v>3840</v>
      </c>
      <c r="M39" s="8" t="n">
        <f aca="false">L39-K39</f>
        <v>774</v>
      </c>
      <c r="N39" s="9" t="n">
        <f aca="false">IFERROR((L39-K39)/L39,"")</f>
        <v>0.2015625</v>
      </c>
      <c r="O39" s="4" t="n">
        <v>1</v>
      </c>
      <c r="P39" s="5" t="s">
        <v>28</v>
      </c>
      <c r="Q39" s="5" t="s">
        <v>29</v>
      </c>
      <c r="R39" s="5" t="s">
        <v>30</v>
      </c>
      <c r="S39" s="5" t="s">
        <v>31</v>
      </c>
    </row>
    <row r="40" customFormat="false" ht="15" hidden="false" customHeight="false" outlineLevel="0" collapsed="false">
      <c r="A40" s="10" t="n">
        <v>36</v>
      </c>
      <c r="B40" s="11" t="s">
        <v>21</v>
      </c>
      <c r="C40" s="11" t="s">
        <v>116</v>
      </c>
      <c r="D40" s="11" t="s">
        <v>61</v>
      </c>
      <c r="E40" s="11" t="s">
        <v>117</v>
      </c>
      <c r="F40" s="11" t="s">
        <v>25</v>
      </c>
      <c r="G40" s="10" t="n">
        <v>83</v>
      </c>
      <c r="H40" s="11"/>
      <c r="I40" s="12" t="s">
        <v>122</v>
      </c>
      <c r="J40" s="11" t="s">
        <v>59</v>
      </c>
      <c r="K40" s="13" t="n">
        <v>2618</v>
      </c>
      <c r="L40" s="13" t="n">
        <v>3480</v>
      </c>
      <c r="M40" s="14" t="n">
        <f aca="false">L40-K40</f>
        <v>862</v>
      </c>
      <c r="N40" s="15" t="n">
        <f aca="false">IFERROR((L40-K40)/L40,"")</f>
        <v>0.247701149425287</v>
      </c>
      <c r="O40" s="10" t="n">
        <v>1</v>
      </c>
      <c r="P40" s="11" t="s">
        <v>28</v>
      </c>
      <c r="Q40" s="11" t="s">
        <v>29</v>
      </c>
      <c r="R40" s="11" t="s">
        <v>30</v>
      </c>
      <c r="S40" s="11" t="s">
        <v>31</v>
      </c>
    </row>
    <row r="41" customFormat="false" ht="15" hidden="false" customHeight="false" outlineLevel="0" collapsed="false">
      <c r="A41" s="4" t="n">
        <v>37</v>
      </c>
      <c r="B41" s="5" t="s">
        <v>21</v>
      </c>
      <c r="C41" s="5" t="s">
        <v>123</v>
      </c>
      <c r="D41" s="5" t="s">
        <v>48</v>
      </c>
      <c r="E41" s="5" t="s">
        <v>52</v>
      </c>
      <c r="F41" s="5" t="s">
        <v>53</v>
      </c>
      <c r="G41" s="4" t="n">
        <v>88</v>
      </c>
      <c r="H41" s="5"/>
      <c r="I41" s="6" t="s">
        <v>124</v>
      </c>
      <c r="J41" s="5" t="s">
        <v>40</v>
      </c>
      <c r="K41" s="7" t="n">
        <v>1963</v>
      </c>
      <c r="L41" s="7" t="n">
        <v>2680</v>
      </c>
      <c r="M41" s="8" t="n">
        <f aca="false">L41-K41</f>
        <v>717</v>
      </c>
      <c r="N41" s="9" t="n">
        <f aca="false">IFERROR((L41-K41)/L41,"")</f>
        <v>0.267537313432836</v>
      </c>
      <c r="O41" s="4" t="n">
        <v>1</v>
      </c>
      <c r="P41" s="5" t="s">
        <v>28</v>
      </c>
      <c r="Q41" s="5" t="s">
        <v>29</v>
      </c>
      <c r="R41" s="5" t="s">
        <v>31</v>
      </c>
      <c r="S41" s="5" t="s">
        <v>31</v>
      </c>
    </row>
    <row r="42" customFormat="false" ht="15" hidden="false" customHeight="false" outlineLevel="0" collapsed="false">
      <c r="A42" s="10" t="n">
        <v>38</v>
      </c>
      <c r="B42" s="11" t="s">
        <v>21</v>
      </c>
      <c r="C42" s="11" t="s">
        <v>123</v>
      </c>
      <c r="D42" s="11" t="s">
        <v>61</v>
      </c>
      <c r="E42" s="11" t="s">
        <v>125</v>
      </c>
      <c r="F42" s="11" t="s">
        <v>53</v>
      </c>
      <c r="G42" s="10" t="n">
        <v>79</v>
      </c>
      <c r="H42" s="11"/>
      <c r="I42" s="12" t="s">
        <v>126</v>
      </c>
      <c r="J42" s="11" t="s">
        <v>86</v>
      </c>
      <c r="K42" s="13" t="n">
        <v>1707</v>
      </c>
      <c r="L42" s="13" t="n">
        <v>2300</v>
      </c>
      <c r="M42" s="14" t="n">
        <f aca="false">L42-K42</f>
        <v>593</v>
      </c>
      <c r="N42" s="15" t="n">
        <f aca="false">IFERROR((L42-K42)/L42,"")</f>
        <v>0.257826086956522</v>
      </c>
      <c r="O42" s="10" t="n">
        <v>1</v>
      </c>
      <c r="P42" s="11" t="s">
        <v>28</v>
      </c>
      <c r="Q42" s="11" t="s">
        <v>29</v>
      </c>
      <c r="R42" s="11" t="s">
        <v>31</v>
      </c>
      <c r="S42" s="11" t="s">
        <v>31</v>
      </c>
    </row>
    <row r="43" customFormat="false" ht="15" hidden="false" customHeight="false" outlineLevel="0" collapsed="false">
      <c r="A43" s="4" t="n">
        <v>39</v>
      </c>
      <c r="B43" s="5" t="s">
        <v>21</v>
      </c>
      <c r="C43" s="5" t="s">
        <v>127</v>
      </c>
      <c r="D43" s="5" t="s">
        <v>48</v>
      </c>
      <c r="E43" s="5" t="s">
        <v>57</v>
      </c>
      <c r="F43" s="5" t="s">
        <v>25</v>
      </c>
      <c r="G43" s="4" t="n">
        <v>80</v>
      </c>
      <c r="H43" s="5" t="s">
        <v>67</v>
      </c>
      <c r="I43" s="6" t="s">
        <v>128</v>
      </c>
      <c r="J43" s="5" t="s">
        <v>35</v>
      </c>
      <c r="K43" s="7" t="n">
        <v>2508</v>
      </c>
      <c r="L43" s="7" t="n">
        <v>3170</v>
      </c>
      <c r="M43" s="8" t="n">
        <f aca="false">L43-K43</f>
        <v>662</v>
      </c>
      <c r="N43" s="9" t="n">
        <f aca="false">IFERROR((L43-K43)/L43,"")</f>
        <v>0.208832807570978</v>
      </c>
      <c r="O43" s="4" t="n">
        <v>1</v>
      </c>
      <c r="P43" s="5" t="s">
        <v>28</v>
      </c>
      <c r="Q43" s="5" t="s">
        <v>29</v>
      </c>
      <c r="R43" s="5" t="s">
        <v>31</v>
      </c>
      <c r="S43" s="5" t="s">
        <v>31</v>
      </c>
    </row>
    <row r="44" customFormat="false" ht="15" hidden="false" customHeight="false" outlineLevel="0" collapsed="false">
      <c r="A44" s="10" t="n">
        <v>40</v>
      </c>
      <c r="B44" s="11" t="s">
        <v>21</v>
      </c>
      <c r="C44" s="11" t="s">
        <v>127</v>
      </c>
      <c r="D44" s="11" t="s">
        <v>48</v>
      </c>
      <c r="E44" s="11" t="s">
        <v>92</v>
      </c>
      <c r="F44" s="11" t="s">
        <v>25</v>
      </c>
      <c r="G44" s="10" t="n">
        <v>94</v>
      </c>
      <c r="H44" s="11"/>
      <c r="I44" s="12" t="s">
        <v>129</v>
      </c>
      <c r="J44" s="11" t="s">
        <v>56</v>
      </c>
      <c r="K44" s="13" t="n">
        <v>2752</v>
      </c>
      <c r="L44" s="13" t="n">
        <v>3580</v>
      </c>
      <c r="M44" s="14" t="n">
        <f aca="false">L44-K44</f>
        <v>828</v>
      </c>
      <c r="N44" s="15" t="n">
        <f aca="false">IFERROR((L44-K44)/L44,"")</f>
        <v>0.231284916201117</v>
      </c>
      <c r="O44" s="10" t="n">
        <v>1</v>
      </c>
      <c r="P44" s="11" t="s">
        <v>28</v>
      </c>
      <c r="Q44" s="11" t="s">
        <v>29</v>
      </c>
      <c r="R44" s="11" t="s">
        <v>31</v>
      </c>
      <c r="S44" s="11" t="s">
        <v>31</v>
      </c>
    </row>
    <row r="45" customFormat="false" ht="15" hidden="false" customHeight="false" outlineLevel="0" collapsed="false">
      <c r="A45" s="4" t="n">
        <v>41</v>
      </c>
      <c r="B45" s="5" t="s">
        <v>21</v>
      </c>
      <c r="C45" s="5" t="s">
        <v>127</v>
      </c>
      <c r="D45" s="5" t="s">
        <v>37</v>
      </c>
      <c r="E45" s="5" t="s">
        <v>125</v>
      </c>
      <c r="F45" s="5" t="s">
        <v>42</v>
      </c>
      <c r="G45" s="4" t="n">
        <v>100</v>
      </c>
      <c r="H45" s="5"/>
      <c r="I45" s="6" t="s">
        <v>130</v>
      </c>
      <c r="J45" s="5" t="s">
        <v>63</v>
      </c>
      <c r="K45" s="7" t="n">
        <v>3250</v>
      </c>
      <c r="L45" s="7" t="n">
        <v>4100</v>
      </c>
      <c r="M45" s="8" t="n">
        <f aca="false">L45-K45</f>
        <v>850</v>
      </c>
      <c r="N45" s="9" t="n">
        <f aca="false">IFERROR((L45-K45)/L45,"")</f>
        <v>0.207317073170732</v>
      </c>
      <c r="O45" s="4" t="n">
        <v>1</v>
      </c>
      <c r="P45" s="5" t="s">
        <v>28</v>
      </c>
      <c r="Q45" s="5" t="s">
        <v>29</v>
      </c>
      <c r="R45" s="5" t="s">
        <v>31</v>
      </c>
      <c r="S45" s="5" t="s">
        <v>31</v>
      </c>
    </row>
    <row r="46" customFormat="false" ht="15" hidden="false" customHeight="false" outlineLevel="0" collapsed="false">
      <c r="A46" s="10" t="n">
        <v>42</v>
      </c>
      <c r="B46" s="11" t="s">
        <v>21</v>
      </c>
      <c r="C46" s="11" t="s">
        <v>131</v>
      </c>
      <c r="D46" s="11" t="s">
        <v>119</v>
      </c>
      <c r="E46" s="11" t="s">
        <v>132</v>
      </c>
      <c r="F46" s="11" t="s">
        <v>53</v>
      </c>
      <c r="G46" s="10" t="n">
        <v>82</v>
      </c>
      <c r="H46" s="11" t="s">
        <v>133</v>
      </c>
      <c r="I46" s="12" t="s">
        <v>134</v>
      </c>
      <c r="J46" s="11" t="s">
        <v>59</v>
      </c>
      <c r="K46" s="13" t="n">
        <v>2303</v>
      </c>
      <c r="L46" s="13" t="n">
        <v>3270</v>
      </c>
      <c r="M46" s="14" t="n">
        <f aca="false">L46-K46</f>
        <v>967</v>
      </c>
      <c r="N46" s="15" t="n">
        <f aca="false">IFERROR((L46-K46)/L46,"")</f>
        <v>0.295718654434251</v>
      </c>
      <c r="O46" s="10" t="n">
        <v>1</v>
      </c>
      <c r="P46" s="11" t="s">
        <v>28</v>
      </c>
      <c r="Q46" s="11" t="s">
        <v>29</v>
      </c>
      <c r="R46" s="11" t="s">
        <v>30</v>
      </c>
      <c r="S46" s="11" t="s">
        <v>31</v>
      </c>
    </row>
    <row r="47" customFormat="false" ht="15" hidden="false" customHeight="false" outlineLevel="0" collapsed="false">
      <c r="A47" s="4" t="n">
        <v>43</v>
      </c>
      <c r="B47" s="5" t="s">
        <v>21</v>
      </c>
      <c r="C47" s="5" t="s">
        <v>135</v>
      </c>
      <c r="D47" s="5" t="s">
        <v>61</v>
      </c>
      <c r="E47" s="5" t="s">
        <v>132</v>
      </c>
      <c r="F47" s="5" t="s">
        <v>33</v>
      </c>
      <c r="G47" s="4" t="n">
        <v>91</v>
      </c>
      <c r="H47" s="5" t="s">
        <v>136</v>
      </c>
      <c r="I47" s="6" t="s">
        <v>137</v>
      </c>
      <c r="J47" s="5" t="s">
        <v>63</v>
      </c>
      <c r="K47" s="7" t="n">
        <v>2437</v>
      </c>
      <c r="L47" s="7" t="n">
        <v>3370</v>
      </c>
      <c r="M47" s="8" t="n">
        <f aca="false">L47-K47</f>
        <v>933</v>
      </c>
      <c r="N47" s="9" t="n">
        <f aca="false">IFERROR((L47-K47)/L47,"")</f>
        <v>0.276854599406528</v>
      </c>
      <c r="O47" s="4" t="n">
        <v>1</v>
      </c>
      <c r="P47" s="5" t="s">
        <v>28</v>
      </c>
      <c r="Q47" s="5" t="s">
        <v>29</v>
      </c>
      <c r="R47" s="5" t="s">
        <v>30</v>
      </c>
      <c r="S47" s="5" t="s">
        <v>31</v>
      </c>
    </row>
    <row r="48" customFormat="false" ht="15" hidden="false" customHeight="false" outlineLevel="0" collapsed="false">
      <c r="A48" s="10" t="n">
        <v>44</v>
      </c>
      <c r="B48" s="11" t="s">
        <v>21</v>
      </c>
      <c r="C48" s="11" t="s">
        <v>135</v>
      </c>
      <c r="D48" s="11" t="s">
        <v>119</v>
      </c>
      <c r="E48" s="11" t="s">
        <v>138</v>
      </c>
      <c r="F48" s="11" t="s">
        <v>25</v>
      </c>
      <c r="G48" s="10" t="n">
        <v>82</v>
      </c>
      <c r="H48" s="11"/>
      <c r="I48" s="12" t="s">
        <v>139</v>
      </c>
      <c r="J48" s="11" t="s">
        <v>86</v>
      </c>
      <c r="K48" s="13" t="n">
        <v>3135</v>
      </c>
      <c r="L48" s="13" t="n">
        <v>4510</v>
      </c>
      <c r="M48" s="14" t="n">
        <f aca="false">L48-K48</f>
        <v>1375</v>
      </c>
      <c r="N48" s="15" t="n">
        <f aca="false">IFERROR((L48-K48)/L48,"")</f>
        <v>0.304878048780488</v>
      </c>
      <c r="O48" s="10" t="n">
        <v>1</v>
      </c>
      <c r="P48" s="11" t="s">
        <v>28</v>
      </c>
      <c r="Q48" s="11" t="s">
        <v>29</v>
      </c>
      <c r="R48" s="11" t="s">
        <v>30</v>
      </c>
      <c r="S48" s="11" t="s">
        <v>31</v>
      </c>
    </row>
    <row r="49" customFormat="false" ht="15" hidden="false" customHeight="false" outlineLevel="0" collapsed="false">
      <c r="A49" s="4" t="n">
        <v>45</v>
      </c>
      <c r="B49" s="5" t="s">
        <v>21</v>
      </c>
      <c r="C49" s="5" t="s">
        <v>140</v>
      </c>
      <c r="D49" s="5" t="s">
        <v>37</v>
      </c>
      <c r="E49" s="5" t="s">
        <v>141</v>
      </c>
      <c r="F49" s="5" t="s">
        <v>33</v>
      </c>
      <c r="G49" s="4" t="n">
        <v>83</v>
      </c>
      <c r="H49" s="5"/>
      <c r="I49" s="6" t="s">
        <v>142</v>
      </c>
      <c r="J49" s="5" t="s">
        <v>69</v>
      </c>
      <c r="K49" s="7" t="n">
        <v>2249</v>
      </c>
      <c r="L49" s="7" t="n">
        <v>2850</v>
      </c>
      <c r="M49" s="8" t="n">
        <f aca="false">L49-K49</f>
        <v>601</v>
      </c>
      <c r="N49" s="9" t="n">
        <f aca="false">IFERROR((L49-K49)/L49,"")</f>
        <v>0.210877192982456</v>
      </c>
      <c r="O49" s="4" t="n">
        <v>1</v>
      </c>
      <c r="P49" s="5" t="s">
        <v>28</v>
      </c>
      <c r="Q49" s="5" t="s">
        <v>29</v>
      </c>
      <c r="R49" s="5" t="s">
        <v>31</v>
      </c>
      <c r="S49" s="5" t="s">
        <v>31</v>
      </c>
    </row>
    <row r="50" customFormat="false" ht="15" hidden="false" customHeight="false" outlineLevel="0" collapsed="false">
      <c r="A50" s="10" t="n">
        <v>46</v>
      </c>
      <c r="B50" s="11" t="s">
        <v>21</v>
      </c>
      <c r="C50" s="11" t="s">
        <v>140</v>
      </c>
      <c r="D50" s="11" t="s">
        <v>61</v>
      </c>
      <c r="E50" s="11" t="s">
        <v>141</v>
      </c>
      <c r="F50" s="11" t="s">
        <v>53</v>
      </c>
      <c r="G50" s="10" t="n">
        <v>95</v>
      </c>
      <c r="H50" s="11"/>
      <c r="I50" s="12" t="s">
        <v>143</v>
      </c>
      <c r="J50" s="11" t="s">
        <v>86</v>
      </c>
      <c r="K50" s="13" t="n">
        <v>2759</v>
      </c>
      <c r="L50" s="13" t="n">
        <v>3920</v>
      </c>
      <c r="M50" s="14" t="n">
        <f aca="false">L50-K50</f>
        <v>1161</v>
      </c>
      <c r="N50" s="15" t="n">
        <f aca="false">IFERROR((L50-K50)/L50,"")</f>
        <v>0.296173469387755</v>
      </c>
      <c r="O50" s="10" t="n">
        <v>1</v>
      </c>
      <c r="P50" s="11" t="s">
        <v>28</v>
      </c>
      <c r="Q50" s="11" t="s">
        <v>29</v>
      </c>
      <c r="R50" s="11" t="s">
        <v>31</v>
      </c>
      <c r="S50" s="11" t="s">
        <v>31</v>
      </c>
    </row>
    <row r="51" customFormat="false" ht="15" hidden="false" customHeight="false" outlineLevel="0" collapsed="false">
      <c r="A51" s="4" t="n">
        <v>47</v>
      </c>
      <c r="B51" s="5" t="s">
        <v>21</v>
      </c>
      <c r="C51" s="5" t="s">
        <v>140</v>
      </c>
      <c r="D51" s="5" t="s">
        <v>37</v>
      </c>
      <c r="E51" s="5" t="s">
        <v>57</v>
      </c>
      <c r="F51" s="5" t="s">
        <v>25</v>
      </c>
      <c r="G51" s="4" t="n">
        <v>89</v>
      </c>
      <c r="H51" s="5"/>
      <c r="I51" s="6" t="s">
        <v>144</v>
      </c>
      <c r="J51" s="5" t="s">
        <v>44</v>
      </c>
      <c r="K51" s="7" t="n">
        <v>3178</v>
      </c>
      <c r="L51" s="7" t="n">
        <v>4100</v>
      </c>
      <c r="M51" s="8" t="n">
        <f aca="false">L51-K51</f>
        <v>922</v>
      </c>
      <c r="N51" s="9" t="n">
        <f aca="false">IFERROR((L51-K51)/L51,"")</f>
        <v>0.224878048780488</v>
      </c>
      <c r="O51" s="4" t="n">
        <v>1</v>
      </c>
      <c r="P51" s="5" t="s">
        <v>28</v>
      </c>
      <c r="Q51" s="5" t="s">
        <v>29</v>
      </c>
      <c r="R51" s="5" t="s">
        <v>31</v>
      </c>
      <c r="S51" s="5" t="s">
        <v>31</v>
      </c>
    </row>
    <row r="52" customFormat="false" ht="15" hidden="false" customHeight="false" outlineLevel="0" collapsed="false">
      <c r="A52" s="10" t="n">
        <v>48</v>
      </c>
      <c r="B52" s="11" t="s">
        <v>21</v>
      </c>
      <c r="C52" s="11" t="s">
        <v>145</v>
      </c>
      <c r="D52" s="11" t="s">
        <v>37</v>
      </c>
      <c r="E52" s="11" t="s">
        <v>132</v>
      </c>
      <c r="F52" s="11" t="s">
        <v>42</v>
      </c>
      <c r="G52" s="10" t="n">
        <v>100</v>
      </c>
      <c r="H52" s="11"/>
      <c r="I52" s="12" t="s">
        <v>146</v>
      </c>
      <c r="J52" s="11" t="s">
        <v>44</v>
      </c>
      <c r="K52" s="13" t="n">
        <v>4556</v>
      </c>
      <c r="L52" s="13" t="n">
        <v>5800</v>
      </c>
      <c r="M52" s="14" t="n">
        <f aca="false">L52-K52</f>
        <v>1244</v>
      </c>
      <c r="N52" s="15" t="n">
        <f aca="false">IFERROR((L52-K52)/L52,"")</f>
        <v>0.21448275862069</v>
      </c>
      <c r="O52" s="10" t="n">
        <v>1</v>
      </c>
      <c r="P52" s="11" t="s">
        <v>28</v>
      </c>
      <c r="Q52" s="11" t="s">
        <v>29</v>
      </c>
      <c r="R52" s="11" t="s">
        <v>30</v>
      </c>
      <c r="S52" s="11" t="s">
        <v>31</v>
      </c>
    </row>
    <row r="53" customFormat="false" ht="15" hidden="false" customHeight="false" outlineLevel="0" collapsed="false">
      <c r="A53" s="4" t="n">
        <v>49</v>
      </c>
      <c r="B53" s="5" t="s">
        <v>21</v>
      </c>
      <c r="C53" s="5" t="s">
        <v>147</v>
      </c>
      <c r="D53" s="5" t="s">
        <v>119</v>
      </c>
      <c r="E53" s="5" t="s">
        <v>148</v>
      </c>
      <c r="F53" s="5" t="s">
        <v>42</v>
      </c>
      <c r="G53" s="4" t="n">
        <v>100</v>
      </c>
      <c r="H53" s="5"/>
      <c r="I53" s="6" t="s">
        <v>149</v>
      </c>
      <c r="J53" s="5" t="s">
        <v>86</v>
      </c>
      <c r="K53" s="7" t="n">
        <v>5422</v>
      </c>
      <c r="L53" s="7" t="n">
        <v>6800</v>
      </c>
      <c r="M53" s="8" t="n">
        <f aca="false">L53-K53</f>
        <v>1378</v>
      </c>
      <c r="N53" s="9" t="n">
        <f aca="false">IFERROR((L53-K53)/L53,"")</f>
        <v>0.202647058823529</v>
      </c>
      <c r="O53" s="4" t="n">
        <v>1</v>
      </c>
      <c r="P53" s="5" t="s">
        <v>28</v>
      </c>
      <c r="Q53" s="5" t="s">
        <v>29</v>
      </c>
      <c r="R53" s="5" t="s">
        <v>30</v>
      </c>
      <c r="S53" s="5" t="s">
        <v>31</v>
      </c>
    </row>
    <row r="54" customFormat="false" ht="15" hidden="false" customHeight="false" outlineLevel="0" collapsed="false">
      <c r="A54" s="10" t="n">
        <v>50</v>
      </c>
      <c r="B54" s="11" t="s">
        <v>21</v>
      </c>
      <c r="C54" s="11" t="s">
        <v>147</v>
      </c>
      <c r="D54" s="11" t="s">
        <v>119</v>
      </c>
      <c r="E54" s="11" t="s">
        <v>148</v>
      </c>
      <c r="F54" s="11" t="s">
        <v>33</v>
      </c>
      <c r="G54" s="10" t="n">
        <v>98</v>
      </c>
      <c r="H54" s="11" t="s">
        <v>133</v>
      </c>
      <c r="I54" s="12" t="s">
        <v>150</v>
      </c>
      <c r="J54" s="11" t="s">
        <v>40</v>
      </c>
      <c r="K54" s="13" t="n">
        <v>3003</v>
      </c>
      <c r="L54" s="13" t="n">
        <v>4310</v>
      </c>
      <c r="M54" s="14" t="n">
        <f aca="false">L54-K54</f>
        <v>1307</v>
      </c>
      <c r="N54" s="15" t="n">
        <f aca="false">IFERROR((L54-K54)/L54,"")</f>
        <v>0.303248259860789</v>
      </c>
      <c r="O54" s="10" t="n">
        <v>1</v>
      </c>
      <c r="P54" s="11" t="s">
        <v>28</v>
      </c>
      <c r="Q54" s="11" t="s">
        <v>29</v>
      </c>
      <c r="R54" s="11" t="s">
        <v>30</v>
      </c>
      <c r="S54" s="11" t="s">
        <v>31</v>
      </c>
    </row>
    <row r="55" customFormat="false" ht="15" hidden="false" customHeight="false" outlineLevel="0" collapsed="false">
      <c r="A55" s="4" t="n">
        <v>51</v>
      </c>
      <c r="B55" s="5" t="s">
        <v>21</v>
      </c>
      <c r="C55" s="5" t="s">
        <v>147</v>
      </c>
      <c r="D55" s="5" t="s">
        <v>48</v>
      </c>
      <c r="E55" s="5" t="s">
        <v>132</v>
      </c>
      <c r="F55" s="5" t="s">
        <v>33</v>
      </c>
      <c r="G55" s="4" t="n">
        <v>95</v>
      </c>
      <c r="H55" s="5"/>
      <c r="I55" s="6" t="s">
        <v>151</v>
      </c>
      <c r="J55" s="5" t="s">
        <v>59</v>
      </c>
      <c r="K55" s="7" t="n">
        <v>3462</v>
      </c>
      <c r="L55" s="7" t="n">
        <v>4490</v>
      </c>
      <c r="M55" s="8" t="n">
        <f aca="false">L55-K55</f>
        <v>1028</v>
      </c>
      <c r="N55" s="9" t="n">
        <f aca="false">IFERROR((L55-K55)/L55,"")</f>
        <v>0.228953229398664</v>
      </c>
      <c r="O55" s="4" t="n">
        <v>1</v>
      </c>
      <c r="P55" s="5" t="s">
        <v>28</v>
      </c>
      <c r="Q55" s="5" t="s">
        <v>29</v>
      </c>
      <c r="R55" s="5" t="s">
        <v>30</v>
      </c>
      <c r="S55" s="5" t="s">
        <v>31</v>
      </c>
    </row>
    <row r="56" customFormat="false" ht="15" hidden="false" customHeight="false" outlineLevel="0" collapsed="false">
      <c r="A56" s="10" t="n">
        <v>52</v>
      </c>
      <c r="B56" s="11" t="s">
        <v>21</v>
      </c>
      <c r="C56" s="11" t="s">
        <v>152</v>
      </c>
      <c r="D56" s="11" t="s">
        <v>48</v>
      </c>
      <c r="E56" s="11" t="s">
        <v>153</v>
      </c>
      <c r="F56" s="11" t="s">
        <v>42</v>
      </c>
      <c r="G56" s="10" t="n">
        <v>100</v>
      </c>
      <c r="H56" s="11"/>
      <c r="I56" s="12" t="s">
        <v>154</v>
      </c>
      <c r="J56" s="11" t="s">
        <v>35</v>
      </c>
      <c r="K56" s="13" t="n">
        <v>4080</v>
      </c>
      <c r="L56" s="13" t="n">
        <v>5400</v>
      </c>
      <c r="M56" s="14" t="n">
        <f aca="false">L56-K56</f>
        <v>1320</v>
      </c>
      <c r="N56" s="15" t="n">
        <f aca="false">IFERROR((L56-K56)/L56,"")</f>
        <v>0.244444444444444</v>
      </c>
      <c r="O56" s="10" t="n">
        <v>1</v>
      </c>
      <c r="P56" s="11" t="s">
        <v>28</v>
      </c>
      <c r="Q56" s="11" t="s">
        <v>29</v>
      </c>
      <c r="R56" s="11" t="s">
        <v>31</v>
      </c>
      <c r="S56" s="11" t="s">
        <v>31</v>
      </c>
    </row>
    <row r="57" customFormat="false" ht="15" hidden="false" customHeight="false" outlineLevel="0" collapsed="false">
      <c r="A57" s="4" t="n">
        <v>53</v>
      </c>
      <c r="B57" s="5" t="s">
        <v>21</v>
      </c>
      <c r="C57" s="5" t="s">
        <v>152</v>
      </c>
      <c r="D57" s="5" t="s">
        <v>61</v>
      </c>
      <c r="E57" s="5" t="s">
        <v>155</v>
      </c>
      <c r="F57" s="5" t="s">
        <v>25</v>
      </c>
      <c r="G57" s="4" t="n">
        <v>93</v>
      </c>
      <c r="H57" s="5"/>
      <c r="I57" s="6" t="s">
        <v>156</v>
      </c>
      <c r="J57" s="5" t="s">
        <v>35</v>
      </c>
      <c r="K57" s="7" t="n">
        <v>3452</v>
      </c>
      <c r="L57" s="7" t="n">
        <v>4710</v>
      </c>
      <c r="M57" s="8" t="n">
        <f aca="false">L57-K57</f>
        <v>1258</v>
      </c>
      <c r="N57" s="9" t="n">
        <f aca="false">IFERROR((L57-K57)/L57,"")</f>
        <v>0.267091295116773</v>
      </c>
      <c r="O57" s="4" t="n">
        <v>1</v>
      </c>
      <c r="P57" s="5" t="s">
        <v>28</v>
      </c>
      <c r="Q57" s="5" t="s">
        <v>29</v>
      </c>
      <c r="R57" s="5" t="s">
        <v>31</v>
      </c>
      <c r="S57" s="5" t="s">
        <v>31</v>
      </c>
    </row>
    <row r="58" customFormat="false" ht="15" hidden="false" customHeight="false" outlineLevel="0" collapsed="false">
      <c r="A58" s="10" t="n">
        <v>54</v>
      </c>
      <c r="B58" s="11" t="s">
        <v>21</v>
      </c>
      <c r="C58" s="11" t="s">
        <v>157</v>
      </c>
      <c r="D58" s="11" t="s">
        <v>61</v>
      </c>
      <c r="E58" s="11" t="s">
        <v>57</v>
      </c>
      <c r="F58" s="11" t="s">
        <v>33</v>
      </c>
      <c r="G58" s="10" t="n">
        <v>82</v>
      </c>
      <c r="H58" s="11" t="s">
        <v>98</v>
      </c>
      <c r="I58" s="12" t="s">
        <v>158</v>
      </c>
      <c r="J58" s="11" t="s">
        <v>69</v>
      </c>
      <c r="K58" s="13" t="n">
        <v>1601</v>
      </c>
      <c r="L58" s="13" t="n">
        <v>2320</v>
      </c>
      <c r="M58" s="14" t="n">
        <f aca="false">L58-K58</f>
        <v>719</v>
      </c>
      <c r="N58" s="15" t="n">
        <f aca="false">IFERROR((L58-K58)/L58,"")</f>
        <v>0.309913793103448</v>
      </c>
      <c r="O58" s="10" t="n">
        <v>1</v>
      </c>
      <c r="P58" s="11" t="s">
        <v>28</v>
      </c>
      <c r="Q58" s="11" t="s">
        <v>29</v>
      </c>
      <c r="R58" s="11" t="s">
        <v>31</v>
      </c>
      <c r="S58" s="11" t="s">
        <v>31</v>
      </c>
    </row>
    <row r="59" customFormat="false" ht="15" hidden="false" customHeight="false" outlineLevel="0" collapsed="false">
      <c r="A59" s="4" t="n">
        <v>55</v>
      </c>
      <c r="B59" s="5" t="s">
        <v>21</v>
      </c>
      <c r="C59" s="5" t="s">
        <v>159</v>
      </c>
      <c r="D59" s="5" t="s">
        <v>61</v>
      </c>
      <c r="E59" s="5" t="s">
        <v>160</v>
      </c>
      <c r="F59" s="5" t="s">
        <v>33</v>
      </c>
      <c r="G59" s="4" t="n">
        <v>83</v>
      </c>
      <c r="H59" s="5" t="s">
        <v>136</v>
      </c>
      <c r="I59" s="6" t="s">
        <v>161</v>
      </c>
      <c r="J59" s="5" t="s">
        <v>86</v>
      </c>
      <c r="K59" s="7" t="n">
        <v>2586</v>
      </c>
      <c r="L59" s="7" t="n">
        <v>3440</v>
      </c>
      <c r="M59" s="8" t="n">
        <f aca="false">L59-K59</f>
        <v>854</v>
      </c>
      <c r="N59" s="9" t="n">
        <f aca="false">IFERROR((L59-K59)/L59,"")</f>
        <v>0.248255813953488</v>
      </c>
      <c r="O59" s="4" t="n">
        <v>1</v>
      </c>
      <c r="P59" s="5" t="s">
        <v>28</v>
      </c>
      <c r="Q59" s="5" t="s">
        <v>29</v>
      </c>
      <c r="R59" s="5" t="s">
        <v>31</v>
      </c>
      <c r="S59" s="5" t="s">
        <v>31</v>
      </c>
    </row>
    <row r="60" customFormat="false" ht="15" hidden="false" customHeight="false" outlineLevel="0" collapsed="false">
      <c r="A60" s="10" t="n">
        <v>56</v>
      </c>
      <c r="B60" s="11" t="s">
        <v>21</v>
      </c>
      <c r="C60" s="11" t="s">
        <v>159</v>
      </c>
      <c r="D60" s="11" t="s">
        <v>61</v>
      </c>
      <c r="E60" s="11" t="s">
        <v>117</v>
      </c>
      <c r="F60" s="11" t="s">
        <v>25</v>
      </c>
      <c r="G60" s="10" t="n">
        <v>96</v>
      </c>
      <c r="H60" s="11" t="s">
        <v>136</v>
      </c>
      <c r="I60" s="12" t="s">
        <v>162</v>
      </c>
      <c r="J60" s="11" t="s">
        <v>88</v>
      </c>
      <c r="K60" s="13" t="n">
        <v>4071</v>
      </c>
      <c r="L60" s="13" t="n">
        <v>5480</v>
      </c>
      <c r="M60" s="14" t="n">
        <f aca="false">L60-K60</f>
        <v>1409</v>
      </c>
      <c r="N60" s="15" t="n">
        <f aca="false">IFERROR((L60-K60)/L60,"")</f>
        <v>0.257116788321168</v>
      </c>
      <c r="O60" s="10" t="n">
        <v>1</v>
      </c>
      <c r="P60" s="11" t="s">
        <v>28</v>
      </c>
      <c r="Q60" s="11" t="s">
        <v>29</v>
      </c>
      <c r="R60" s="11" t="s">
        <v>31</v>
      </c>
      <c r="S60" s="11" t="s">
        <v>31</v>
      </c>
    </row>
    <row r="61" customFormat="false" ht="15" hidden="false" customHeight="false" outlineLevel="0" collapsed="false">
      <c r="A61" s="4" t="n">
        <v>57</v>
      </c>
      <c r="B61" s="5" t="s">
        <v>21</v>
      </c>
      <c r="C61" s="5" t="s">
        <v>159</v>
      </c>
      <c r="D61" s="5" t="s">
        <v>119</v>
      </c>
      <c r="E61" s="5" t="s">
        <v>163</v>
      </c>
      <c r="F61" s="5" t="s">
        <v>33</v>
      </c>
      <c r="G61" s="4" t="n">
        <v>81</v>
      </c>
      <c r="H61" s="5"/>
      <c r="I61" s="6" t="s">
        <v>164</v>
      </c>
      <c r="J61" s="5" t="s">
        <v>35</v>
      </c>
      <c r="K61" s="7" t="n">
        <v>2744</v>
      </c>
      <c r="L61" s="7" t="n">
        <v>3720</v>
      </c>
      <c r="M61" s="8" t="n">
        <f aca="false">L61-K61</f>
        <v>976</v>
      </c>
      <c r="N61" s="9" t="n">
        <f aca="false">IFERROR((L61-K61)/L61,"")</f>
        <v>0.26236559139785</v>
      </c>
      <c r="O61" s="4" t="n">
        <v>1</v>
      </c>
      <c r="P61" s="5" t="s">
        <v>28</v>
      </c>
      <c r="Q61" s="5" t="s">
        <v>29</v>
      </c>
      <c r="R61" s="5" t="s">
        <v>31</v>
      </c>
      <c r="S61" s="5" t="s">
        <v>31</v>
      </c>
    </row>
    <row r="62" customFormat="false" ht="15" hidden="false" customHeight="false" outlineLevel="0" collapsed="false">
      <c r="A62" s="10" t="n">
        <v>58</v>
      </c>
      <c r="B62" s="11" t="s">
        <v>21</v>
      </c>
      <c r="C62" s="11" t="s">
        <v>165</v>
      </c>
      <c r="D62" s="11" t="s">
        <v>48</v>
      </c>
      <c r="E62" s="11" t="s">
        <v>166</v>
      </c>
      <c r="F62" s="11" t="s">
        <v>33</v>
      </c>
      <c r="G62" s="10" t="n">
        <v>81</v>
      </c>
      <c r="H62" s="11" t="s">
        <v>167</v>
      </c>
      <c r="I62" s="12" t="s">
        <v>168</v>
      </c>
      <c r="J62" s="11" t="s">
        <v>77</v>
      </c>
      <c r="K62" s="13" t="n">
        <v>2680</v>
      </c>
      <c r="L62" s="13" t="n">
        <v>3660</v>
      </c>
      <c r="M62" s="14" t="n">
        <f aca="false">L62-K62</f>
        <v>980</v>
      </c>
      <c r="N62" s="15" t="n">
        <f aca="false">IFERROR((L62-K62)/L62,"")</f>
        <v>0.26775956284153</v>
      </c>
      <c r="O62" s="10" t="n">
        <v>1</v>
      </c>
      <c r="P62" s="11" t="s">
        <v>28</v>
      </c>
      <c r="Q62" s="11" t="s">
        <v>29</v>
      </c>
      <c r="R62" s="11" t="s">
        <v>31</v>
      </c>
      <c r="S62" s="11" t="s">
        <v>31</v>
      </c>
    </row>
    <row r="63" customFormat="false" ht="15" hidden="false" customHeight="false" outlineLevel="0" collapsed="false">
      <c r="A63" s="4" t="n">
        <v>59</v>
      </c>
      <c r="B63" s="5" t="s">
        <v>21</v>
      </c>
      <c r="C63" s="5" t="s">
        <v>165</v>
      </c>
      <c r="D63" s="5" t="s">
        <v>61</v>
      </c>
      <c r="E63" s="5" t="s">
        <v>169</v>
      </c>
      <c r="F63" s="5" t="s">
        <v>25</v>
      </c>
      <c r="G63" s="4" t="n">
        <v>78</v>
      </c>
      <c r="H63" s="5" t="s">
        <v>98</v>
      </c>
      <c r="I63" s="6" t="s">
        <v>170</v>
      </c>
      <c r="J63" s="5" t="s">
        <v>27</v>
      </c>
      <c r="K63" s="7" t="n">
        <v>3536</v>
      </c>
      <c r="L63" s="7" t="n">
        <v>4850</v>
      </c>
      <c r="M63" s="8" t="n">
        <f aca="false">L63-K63</f>
        <v>1314</v>
      </c>
      <c r="N63" s="9" t="n">
        <f aca="false">IFERROR((L63-K63)/L63,"")</f>
        <v>0.270927835051546</v>
      </c>
      <c r="O63" s="4" t="n">
        <v>1</v>
      </c>
      <c r="P63" s="5" t="s">
        <v>28</v>
      </c>
      <c r="Q63" s="5" t="s">
        <v>29</v>
      </c>
      <c r="R63" s="5" t="s">
        <v>31</v>
      </c>
      <c r="S63" s="5" t="s">
        <v>31</v>
      </c>
    </row>
    <row r="64" customFormat="false" ht="15" hidden="false" customHeight="false" outlineLevel="0" collapsed="false">
      <c r="A64" s="10" t="n">
        <v>60</v>
      </c>
      <c r="B64" s="11" t="s">
        <v>21</v>
      </c>
      <c r="C64" s="11" t="s">
        <v>171</v>
      </c>
      <c r="D64" s="11" t="s">
        <v>48</v>
      </c>
      <c r="E64" s="11" t="s">
        <v>32</v>
      </c>
      <c r="F64" s="11" t="s">
        <v>42</v>
      </c>
      <c r="G64" s="10" t="n">
        <v>100</v>
      </c>
      <c r="H64" s="11"/>
      <c r="I64" s="12" t="s">
        <v>172</v>
      </c>
      <c r="J64" s="11" t="s">
        <v>86</v>
      </c>
      <c r="K64" s="13" t="n">
        <v>5442</v>
      </c>
      <c r="L64" s="13" t="n">
        <v>7900</v>
      </c>
      <c r="M64" s="14" t="n">
        <f aca="false">L64-K64</f>
        <v>2458</v>
      </c>
      <c r="N64" s="15" t="n">
        <f aca="false">IFERROR((L64-K64)/L64,"")</f>
        <v>0.311139240506329</v>
      </c>
      <c r="O64" s="10" t="n">
        <v>1</v>
      </c>
      <c r="P64" s="11" t="s">
        <v>28</v>
      </c>
      <c r="Q64" s="11" t="s">
        <v>29</v>
      </c>
      <c r="R64" s="11" t="s">
        <v>31</v>
      </c>
      <c r="S64" s="11" t="s">
        <v>31</v>
      </c>
    </row>
    <row r="65" customFormat="false" ht="15" hidden="false" customHeight="false" outlineLevel="0" collapsed="false">
      <c r="A65" s="4" t="n">
        <v>61</v>
      </c>
      <c r="B65" s="5" t="s">
        <v>21</v>
      </c>
      <c r="C65" s="5" t="s">
        <v>171</v>
      </c>
      <c r="D65" s="5" t="s">
        <v>119</v>
      </c>
      <c r="E65" s="5" t="s">
        <v>32</v>
      </c>
      <c r="F65" s="5" t="s">
        <v>53</v>
      </c>
      <c r="G65" s="4" t="n">
        <v>83</v>
      </c>
      <c r="H65" s="5" t="s">
        <v>80</v>
      </c>
      <c r="I65" s="6" t="s">
        <v>173</v>
      </c>
      <c r="J65" s="5" t="s">
        <v>63</v>
      </c>
      <c r="K65" s="7" t="n">
        <v>4197</v>
      </c>
      <c r="L65" s="7" t="n">
        <v>5360</v>
      </c>
      <c r="M65" s="8" t="n">
        <f aca="false">L65-K65</f>
        <v>1163</v>
      </c>
      <c r="N65" s="9" t="n">
        <f aca="false">IFERROR((L65-K65)/L65,"")</f>
        <v>0.216977611940299</v>
      </c>
      <c r="O65" s="4" t="n">
        <v>1</v>
      </c>
      <c r="P65" s="5" t="s">
        <v>28</v>
      </c>
      <c r="Q65" s="5" t="s">
        <v>29</v>
      </c>
      <c r="R65" s="5" t="s">
        <v>31</v>
      </c>
      <c r="S65" s="5" t="s">
        <v>31</v>
      </c>
    </row>
    <row r="66" customFormat="false" ht="15" hidden="false" customHeight="false" outlineLevel="0" collapsed="false">
      <c r="A66" s="10" t="n">
        <v>62</v>
      </c>
      <c r="B66" s="11" t="s">
        <v>21</v>
      </c>
      <c r="C66" s="11" t="s">
        <v>174</v>
      </c>
      <c r="D66" s="11" t="s">
        <v>48</v>
      </c>
      <c r="E66" s="11" t="s">
        <v>74</v>
      </c>
      <c r="F66" s="11" t="s">
        <v>25</v>
      </c>
      <c r="G66" s="10" t="n">
        <v>86</v>
      </c>
      <c r="H66" s="11" t="s">
        <v>54</v>
      </c>
      <c r="I66" s="12" t="s">
        <v>175</v>
      </c>
      <c r="J66" s="11" t="s">
        <v>88</v>
      </c>
      <c r="K66" s="13" t="n">
        <v>3454</v>
      </c>
      <c r="L66" s="13" t="n">
        <v>4740</v>
      </c>
      <c r="M66" s="14" t="n">
        <f aca="false">L66-K66</f>
        <v>1286</v>
      </c>
      <c r="N66" s="15" t="n">
        <f aca="false">IFERROR((L66-K66)/L66,"")</f>
        <v>0.271308016877637</v>
      </c>
      <c r="O66" s="10" t="n">
        <v>1</v>
      </c>
      <c r="P66" s="11" t="s">
        <v>28</v>
      </c>
      <c r="Q66" s="11" t="s">
        <v>29</v>
      </c>
      <c r="R66" s="11" t="s">
        <v>30</v>
      </c>
      <c r="S66" s="11" t="s">
        <v>31</v>
      </c>
    </row>
    <row r="67" customFormat="false" ht="15" hidden="false" customHeight="false" outlineLevel="0" collapsed="false">
      <c r="A67" s="4" t="n">
        <v>63</v>
      </c>
      <c r="B67" s="5" t="s">
        <v>21</v>
      </c>
      <c r="C67" s="5" t="s">
        <v>176</v>
      </c>
      <c r="D67" s="5" t="s">
        <v>177</v>
      </c>
      <c r="E67" s="5" t="s">
        <v>178</v>
      </c>
      <c r="F67" s="5" t="s">
        <v>33</v>
      </c>
      <c r="G67" s="4" t="n">
        <v>93</v>
      </c>
      <c r="H67" s="5"/>
      <c r="I67" s="6" t="s">
        <v>179</v>
      </c>
      <c r="J67" s="5" t="s">
        <v>35</v>
      </c>
      <c r="K67" s="7" t="n">
        <v>4281</v>
      </c>
      <c r="L67" s="7" t="n">
        <v>5700</v>
      </c>
      <c r="M67" s="8" t="n">
        <f aca="false">L67-K67</f>
        <v>1419</v>
      </c>
      <c r="N67" s="9" t="n">
        <f aca="false">IFERROR((L67-K67)/L67,"")</f>
        <v>0.248947368421053</v>
      </c>
      <c r="O67" s="4" t="n">
        <v>1</v>
      </c>
      <c r="P67" s="5" t="s">
        <v>28</v>
      </c>
      <c r="Q67" s="5" t="s">
        <v>29</v>
      </c>
      <c r="R67" s="5" t="s">
        <v>30</v>
      </c>
      <c r="S67" s="5" t="s">
        <v>31</v>
      </c>
    </row>
    <row r="68" customFormat="false" ht="15" hidden="false" customHeight="false" outlineLevel="0" collapsed="false">
      <c r="A68" s="10" t="n">
        <v>64</v>
      </c>
      <c r="B68" s="11" t="s">
        <v>21</v>
      </c>
      <c r="C68" s="11" t="s">
        <v>176</v>
      </c>
      <c r="D68" s="11" t="s">
        <v>61</v>
      </c>
      <c r="E68" s="11" t="s">
        <v>132</v>
      </c>
      <c r="F68" s="11" t="s">
        <v>42</v>
      </c>
      <c r="G68" s="10" t="n">
        <v>100</v>
      </c>
      <c r="H68" s="11"/>
      <c r="I68" s="12" t="s">
        <v>180</v>
      </c>
      <c r="J68" s="11" t="s">
        <v>35</v>
      </c>
      <c r="K68" s="13" t="n">
        <v>6769</v>
      </c>
      <c r="L68" s="13" t="n">
        <v>8900</v>
      </c>
      <c r="M68" s="14" t="n">
        <f aca="false">L68-K68</f>
        <v>2131</v>
      </c>
      <c r="N68" s="15" t="n">
        <f aca="false">IFERROR((L68-K68)/L68,"")</f>
        <v>0.239438202247191</v>
      </c>
      <c r="O68" s="10" t="n">
        <v>1</v>
      </c>
      <c r="P68" s="11" t="s">
        <v>28</v>
      </c>
      <c r="Q68" s="11" t="s">
        <v>29</v>
      </c>
      <c r="R68" s="11" t="s">
        <v>30</v>
      </c>
      <c r="S68" s="11" t="s">
        <v>31</v>
      </c>
    </row>
    <row r="69" customFormat="false" ht="15" hidden="false" customHeight="false" outlineLevel="0" collapsed="false">
      <c r="A69" s="4" t="n">
        <v>68</v>
      </c>
      <c r="B69" s="5" t="s">
        <v>181</v>
      </c>
      <c r="C69" s="5" t="s">
        <v>182</v>
      </c>
      <c r="D69" s="5" t="s">
        <v>37</v>
      </c>
      <c r="E69" s="5" t="s">
        <v>52</v>
      </c>
      <c r="F69" s="5" t="s">
        <v>42</v>
      </c>
      <c r="G69" s="4" t="n">
        <v>100</v>
      </c>
      <c r="H69" s="5"/>
      <c r="I69" s="6"/>
      <c r="J69" s="5" t="s">
        <v>56</v>
      </c>
      <c r="K69" s="7" t="n">
        <v>2271</v>
      </c>
      <c r="L69" s="7" t="n">
        <v>2900</v>
      </c>
      <c r="M69" s="8" t="n">
        <f aca="false">L69-K69</f>
        <v>629</v>
      </c>
      <c r="N69" s="9" t="n">
        <f aca="false">IFERROR((L69-K69)/L69,"")</f>
        <v>0.216896551724138</v>
      </c>
      <c r="O69" s="4" t="n">
        <v>1</v>
      </c>
      <c r="P69" s="5" t="s">
        <v>28</v>
      </c>
      <c r="Q69" s="5" t="s">
        <v>29</v>
      </c>
      <c r="R69" s="5" t="s">
        <v>31</v>
      </c>
      <c r="S69" s="5" t="s">
        <v>31</v>
      </c>
    </row>
    <row r="70" customFormat="false" ht="15" hidden="false" customHeight="false" outlineLevel="0" collapsed="false">
      <c r="A70" s="10" t="n">
        <v>69</v>
      </c>
      <c r="B70" s="11" t="s">
        <v>181</v>
      </c>
      <c r="C70" s="11" t="s">
        <v>183</v>
      </c>
      <c r="D70" s="11" t="s">
        <v>61</v>
      </c>
      <c r="E70" s="11" t="s">
        <v>107</v>
      </c>
      <c r="F70" s="11" t="s">
        <v>42</v>
      </c>
      <c r="G70" s="10" t="n">
        <v>100</v>
      </c>
      <c r="H70" s="11"/>
      <c r="I70" s="12"/>
      <c r="J70" s="11" t="s">
        <v>44</v>
      </c>
      <c r="K70" s="13" t="n">
        <v>5251</v>
      </c>
      <c r="L70" s="13" t="n">
        <v>7100</v>
      </c>
      <c r="M70" s="14" t="n">
        <f aca="false">L70-K70</f>
        <v>1849</v>
      </c>
      <c r="N70" s="15" t="n">
        <f aca="false">IFERROR((L70-K70)/L70,"")</f>
        <v>0.260422535211268</v>
      </c>
      <c r="O70" s="10" t="n">
        <v>1</v>
      </c>
      <c r="P70" s="11" t="s">
        <v>28</v>
      </c>
      <c r="Q70" s="11" t="s">
        <v>29</v>
      </c>
      <c r="R70" s="11" t="s">
        <v>31</v>
      </c>
      <c r="S70" s="11" t="s">
        <v>31</v>
      </c>
    </row>
    <row r="71" customFormat="false" ht="15" hidden="false" customHeight="false" outlineLevel="0" collapsed="false">
      <c r="A71" s="4" t="n">
        <v>70</v>
      </c>
      <c r="B71" s="5" t="s">
        <v>181</v>
      </c>
      <c r="C71" s="5" t="s">
        <v>183</v>
      </c>
      <c r="D71" s="5" t="s">
        <v>37</v>
      </c>
      <c r="E71" s="5" t="s">
        <v>74</v>
      </c>
      <c r="F71" s="5" t="s">
        <v>53</v>
      </c>
      <c r="G71" s="4" t="n">
        <v>93</v>
      </c>
      <c r="H71" s="5"/>
      <c r="I71" s="6"/>
      <c r="J71" s="5" t="s">
        <v>44</v>
      </c>
      <c r="K71" s="7" t="n">
        <v>4369</v>
      </c>
      <c r="L71" s="7" t="n">
        <v>5510</v>
      </c>
      <c r="M71" s="8" t="n">
        <f aca="false">L71-K71</f>
        <v>1141</v>
      </c>
      <c r="N71" s="9" t="n">
        <f aca="false">IFERROR((L71-K71)/L71,"")</f>
        <v>0.207078039927405</v>
      </c>
      <c r="O71" s="4" t="n">
        <v>1</v>
      </c>
      <c r="P71" s="5" t="s">
        <v>28</v>
      </c>
      <c r="Q71" s="5" t="s">
        <v>29</v>
      </c>
      <c r="R71" s="5" t="s">
        <v>31</v>
      </c>
      <c r="S71" s="5" t="s">
        <v>31</v>
      </c>
    </row>
    <row r="72" customFormat="false" ht="15" hidden="false" customHeight="false" outlineLevel="0" collapsed="false">
      <c r="A72" s="10" t="n">
        <v>71</v>
      </c>
      <c r="B72" s="11" t="s">
        <v>181</v>
      </c>
      <c r="C72" s="11" t="s">
        <v>184</v>
      </c>
      <c r="D72" s="11" t="s">
        <v>177</v>
      </c>
      <c r="E72" s="11" t="s">
        <v>117</v>
      </c>
      <c r="F72" s="11" t="s">
        <v>42</v>
      </c>
      <c r="G72" s="10" t="n">
        <v>100</v>
      </c>
      <c r="H72" s="11"/>
      <c r="I72" s="12"/>
      <c r="J72" s="11" t="s">
        <v>86</v>
      </c>
      <c r="K72" s="13" t="n">
        <v>7313</v>
      </c>
      <c r="L72" s="13" t="n">
        <v>9200</v>
      </c>
      <c r="M72" s="14" t="n">
        <f aca="false">L72-K72</f>
        <v>1887</v>
      </c>
      <c r="N72" s="15" t="n">
        <f aca="false">IFERROR((L72-K72)/L72,"")</f>
        <v>0.205108695652174</v>
      </c>
      <c r="O72" s="10" t="n">
        <v>1</v>
      </c>
      <c r="P72" s="11" t="s">
        <v>28</v>
      </c>
      <c r="Q72" s="11" t="s">
        <v>29</v>
      </c>
      <c r="R72" s="11" t="s">
        <v>31</v>
      </c>
      <c r="S72" s="11" t="s">
        <v>31</v>
      </c>
    </row>
    <row r="73" customFormat="false" ht="15" hidden="false" customHeight="false" outlineLevel="0" collapsed="false">
      <c r="A73" s="4" t="n">
        <v>72</v>
      </c>
      <c r="B73" s="5" t="s">
        <v>181</v>
      </c>
      <c r="C73" s="5" t="s">
        <v>185</v>
      </c>
      <c r="D73" s="5" t="s">
        <v>119</v>
      </c>
      <c r="E73" s="5" t="s">
        <v>117</v>
      </c>
      <c r="F73" s="5" t="s">
        <v>25</v>
      </c>
      <c r="G73" s="4" t="n">
        <v>99</v>
      </c>
      <c r="H73" s="5"/>
      <c r="I73" s="6"/>
      <c r="J73" s="5" t="s">
        <v>56</v>
      </c>
      <c r="K73" s="7" t="n">
        <v>8881</v>
      </c>
      <c r="L73" s="7" t="n">
        <v>11160</v>
      </c>
      <c r="M73" s="8" t="n">
        <f aca="false">L73-K73</f>
        <v>2279</v>
      </c>
      <c r="N73" s="9" t="n">
        <f aca="false">IFERROR((L73-K73)/L73,"")</f>
        <v>0.20421146953405</v>
      </c>
      <c r="O73" s="4" t="n">
        <v>1</v>
      </c>
      <c r="P73" s="5" t="s">
        <v>28</v>
      </c>
      <c r="Q73" s="5" t="s">
        <v>29</v>
      </c>
      <c r="R73" s="5" t="s">
        <v>31</v>
      </c>
      <c r="S73" s="5" t="s">
        <v>31</v>
      </c>
    </row>
    <row r="74" customFormat="false" ht="15" hidden="false" customHeight="false" outlineLevel="0" collapsed="false">
      <c r="A74" s="10" t="n">
        <v>65</v>
      </c>
      <c r="B74" s="11" t="s">
        <v>186</v>
      </c>
      <c r="C74" s="11" t="s">
        <v>187</v>
      </c>
      <c r="D74" s="11" t="s">
        <v>188</v>
      </c>
      <c r="E74" s="11" t="s">
        <v>94</v>
      </c>
      <c r="F74" s="11" t="s">
        <v>33</v>
      </c>
      <c r="G74" s="10" t="n">
        <v>98</v>
      </c>
      <c r="H74" s="11"/>
      <c r="I74" s="12"/>
      <c r="J74" s="11" t="s">
        <v>88</v>
      </c>
      <c r="K74" s="13" t="n">
        <v>1041</v>
      </c>
      <c r="L74" s="13" t="n">
        <v>1450</v>
      </c>
      <c r="M74" s="14" t="n">
        <f aca="false">L74-K74</f>
        <v>409</v>
      </c>
      <c r="N74" s="15" t="n">
        <f aca="false">IFERROR((L74-K74)/L74,"")</f>
        <v>0.282068965517241</v>
      </c>
      <c r="O74" s="10" t="n">
        <v>1</v>
      </c>
      <c r="P74" s="11" t="s">
        <v>28</v>
      </c>
      <c r="Q74" s="11" t="s">
        <v>29</v>
      </c>
      <c r="R74" s="11" t="s">
        <v>30</v>
      </c>
      <c r="S74" s="11" t="s">
        <v>31</v>
      </c>
    </row>
    <row r="75" customFormat="false" ht="15" hidden="false" customHeight="false" outlineLevel="0" collapsed="false">
      <c r="A75" s="4" t="n">
        <v>66</v>
      </c>
      <c r="B75" s="5" t="s">
        <v>186</v>
      </c>
      <c r="C75" s="5" t="s">
        <v>189</v>
      </c>
      <c r="D75" s="5" t="s">
        <v>190</v>
      </c>
      <c r="E75" s="5" t="s">
        <v>132</v>
      </c>
      <c r="F75" s="5" t="s">
        <v>53</v>
      </c>
      <c r="G75" s="4" t="n">
        <v>100</v>
      </c>
      <c r="H75" s="5"/>
      <c r="I75" s="6"/>
      <c r="J75" s="5" t="s">
        <v>44</v>
      </c>
      <c r="K75" s="7" t="n">
        <v>5565</v>
      </c>
      <c r="L75" s="7" t="n">
        <v>7120</v>
      </c>
      <c r="M75" s="8" t="n">
        <f aca="false">L75-K75</f>
        <v>1555</v>
      </c>
      <c r="N75" s="9" t="n">
        <f aca="false">IFERROR((L75-K75)/L75,"")</f>
        <v>0.218398876404494</v>
      </c>
      <c r="O75" s="4" t="n">
        <v>1</v>
      </c>
      <c r="P75" s="5" t="s">
        <v>28</v>
      </c>
      <c r="Q75" s="5" t="s">
        <v>29</v>
      </c>
      <c r="R75" s="5" t="s">
        <v>30</v>
      </c>
      <c r="S75" s="5" t="s">
        <v>31</v>
      </c>
    </row>
    <row r="76" customFormat="false" ht="15" hidden="false" customHeight="false" outlineLevel="0" collapsed="false">
      <c r="A76" s="10" t="n">
        <v>67</v>
      </c>
      <c r="B76" s="11" t="s">
        <v>186</v>
      </c>
      <c r="C76" s="11" t="s">
        <v>189</v>
      </c>
      <c r="D76" s="11" t="s">
        <v>190</v>
      </c>
      <c r="E76" s="11" t="s">
        <v>132</v>
      </c>
      <c r="F76" s="11" t="s">
        <v>25</v>
      </c>
      <c r="G76" s="10" t="n">
        <v>91</v>
      </c>
      <c r="H76" s="11"/>
      <c r="I76" s="12"/>
      <c r="J76" s="11" t="s">
        <v>56</v>
      </c>
      <c r="K76" s="13" t="n">
        <v>5720</v>
      </c>
      <c r="L76" s="13" t="n">
        <v>7770</v>
      </c>
      <c r="M76" s="14" t="n">
        <f aca="false">L76-K76</f>
        <v>2050</v>
      </c>
      <c r="N76" s="15" t="n">
        <f aca="false">IFERROR((L76-K76)/L76,"")</f>
        <v>0.263835263835264</v>
      </c>
      <c r="O76" s="10" t="n">
        <v>1</v>
      </c>
      <c r="P76" s="11" t="s">
        <v>28</v>
      </c>
      <c r="Q76" s="11" t="s">
        <v>29</v>
      </c>
      <c r="R76" s="11" t="s">
        <v>30</v>
      </c>
      <c r="S76" s="11" t="s">
        <v>31</v>
      </c>
    </row>
    <row r="77" customFormat="false" ht="15" hidden="false" customHeight="false" outlineLevel="0" collapsed="false">
      <c r="A77" s="4" t="n">
        <v>73</v>
      </c>
      <c r="B77" s="5" t="s">
        <v>191</v>
      </c>
      <c r="C77" s="5" t="s">
        <v>192</v>
      </c>
      <c r="D77" s="5" t="s">
        <v>119</v>
      </c>
      <c r="E77" s="5" t="s">
        <v>32</v>
      </c>
      <c r="F77" s="5" t="s">
        <v>42</v>
      </c>
      <c r="G77" s="4" t="n">
        <v>100</v>
      </c>
      <c r="H77" s="5"/>
      <c r="I77" s="6"/>
      <c r="J77" s="5" t="s">
        <v>86</v>
      </c>
      <c r="K77" s="7" t="n">
        <v>7885</v>
      </c>
      <c r="L77" s="7" t="n">
        <v>11500</v>
      </c>
      <c r="M77" s="8" t="n">
        <f aca="false">L77-K77</f>
        <v>3615</v>
      </c>
      <c r="N77" s="9" t="n">
        <f aca="false">IFERROR((L77-K77)/L77,"")</f>
        <v>0.314347826086957</v>
      </c>
      <c r="O77" s="4" t="n">
        <v>1</v>
      </c>
      <c r="P77" s="5" t="s">
        <v>28</v>
      </c>
      <c r="Q77" s="5" t="s">
        <v>29</v>
      </c>
      <c r="R77" s="5" t="s">
        <v>30</v>
      </c>
      <c r="S77" s="5" t="s">
        <v>31</v>
      </c>
    </row>
    <row r="78" customFormat="false" ht="15" hidden="false" customHeight="false" outlineLevel="0" collapsed="false">
      <c r="A78" s="10" t="n">
        <v>74</v>
      </c>
      <c r="B78" s="11" t="s">
        <v>193</v>
      </c>
      <c r="C78" s="11" t="s">
        <v>194</v>
      </c>
      <c r="D78" s="11" t="s">
        <v>195</v>
      </c>
      <c r="E78" s="11" t="s">
        <v>24</v>
      </c>
      <c r="F78" s="11" t="s">
        <v>42</v>
      </c>
      <c r="G78" s="10"/>
      <c r="H78" s="11"/>
      <c r="I78" s="12"/>
      <c r="J78" s="11" t="s">
        <v>86</v>
      </c>
      <c r="K78" s="13" t="n">
        <v>465</v>
      </c>
      <c r="L78" s="13" t="n">
        <v>750</v>
      </c>
      <c r="M78" s="14" t="n">
        <f aca="false">L78-K78</f>
        <v>285</v>
      </c>
      <c r="N78" s="15" t="n">
        <f aca="false">IFERROR((L78-K78)/L78,"")</f>
        <v>0.38</v>
      </c>
      <c r="O78" s="10" t="n">
        <v>13</v>
      </c>
      <c r="P78" s="11" t="s">
        <v>196</v>
      </c>
      <c r="Q78" s="11" t="s">
        <v>29</v>
      </c>
      <c r="R78" s="11" t="s">
        <v>30</v>
      </c>
      <c r="S78" s="11" t="s">
        <v>31</v>
      </c>
    </row>
    <row r="79" customFormat="false" ht="15" hidden="false" customHeight="false" outlineLevel="0" collapsed="false">
      <c r="A79" s="4" t="n">
        <v>75</v>
      </c>
      <c r="B79" s="5" t="s">
        <v>193</v>
      </c>
      <c r="C79" s="5" t="s">
        <v>197</v>
      </c>
      <c r="D79" s="5" t="s">
        <v>195</v>
      </c>
      <c r="E79" s="5" t="s">
        <v>24</v>
      </c>
      <c r="F79" s="5" t="s">
        <v>42</v>
      </c>
      <c r="G79" s="4"/>
      <c r="H79" s="5"/>
      <c r="I79" s="6"/>
      <c r="J79" s="5" t="s">
        <v>86</v>
      </c>
      <c r="K79" s="7" t="n">
        <v>775</v>
      </c>
      <c r="L79" s="7" t="n">
        <v>1250</v>
      </c>
      <c r="M79" s="8" t="n">
        <f aca="false">L79-K79</f>
        <v>475</v>
      </c>
      <c r="N79" s="9" t="n">
        <f aca="false">IFERROR((L79-K79)/L79,"")</f>
        <v>0.38</v>
      </c>
      <c r="O79" s="4" t="n">
        <v>9</v>
      </c>
      <c r="P79" s="5" t="s">
        <v>196</v>
      </c>
      <c r="Q79" s="5" t="s">
        <v>29</v>
      </c>
      <c r="R79" s="5" t="s">
        <v>30</v>
      </c>
      <c r="S79" s="5" t="s">
        <v>31</v>
      </c>
    </row>
    <row r="80" customFormat="false" ht="15" hidden="false" customHeight="false" outlineLevel="0" collapsed="false">
      <c r="A80" s="10" t="n">
        <v>76</v>
      </c>
      <c r="B80" s="11" t="s">
        <v>193</v>
      </c>
      <c r="C80" s="11" t="s">
        <v>198</v>
      </c>
      <c r="D80" s="11" t="s">
        <v>195</v>
      </c>
      <c r="E80" s="11" t="s">
        <v>24</v>
      </c>
      <c r="F80" s="11" t="s">
        <v>42</v>
      </c>
      <c r="G80" s="10"/>
      <c r="H80" s="11"/>
      <c r="I80" s="12"/>
      <c r="J80" s="11" t="s">
        <v>86</v>
      </c>
      <c r="K80" s="13" t="n">
        <v>608</v>
      </c>
      <c r="L80" s="13" t="n">
        <v>980</v>
      </c>
      <c r="M80" s="14" t="n">
        <f aca="false">L80-K80</f>
        <v>372</v>
      </c>
      <c r="N80" s="15" t="n">
        <f aca="false">IFERROR((L80-K80)/L80,"")</f>
        <v>0.379591836734694</v>
      </c>
      <c r="O80" s="10" t="n">
        <v>4</v>
      </c>
      <c r="P80" s="11" t="s">
        <v>196</v>
      </c>
      <c r="Q80" s="11" t="s">
        <v>29</v>
      </c>
      <c r="R80" s="11" t="s">
        <v>30</v>
      </c>
      <c r="S80" s="11" t="s">
        <v>31</v>
      </c>
    </row>
    <row r="81" customFormat="false" ht="15" hidden="false" customHeight="false" outlineLevel="0" collapsed="false">
      <c r="A81" s="4" t="n">
        <v>77</v>
      </c>
      <c r="B81" s="5" t="s">
        <v>193</v>
      </c>
      <c r="C81" s="5" t="s">
        <v>199</v>
      </c>
      <c r="D81" s="5" t="s">
        <v>195</v>
      </c>
      <c r="E81" s="5" t="s">
        <v>57</v>
      </c>
      <c r="F81" s="5" t="s">
        <v>42</v>
      </c>
      <c r="G81" s="4"/>
      <c r="H81" s="5"/>
      <c r="I81" s="6"/>
      <c r="J81" s="5" t="s">
        <v>86</v>
      </c>
      <c r="K81" s="7" t="n">
        <v>1302</v>
      </c>
      <c r="L81" s="7" t="n">
        <v>2100</v>
      </c>
      <c r="M81" s="8" t="n">
        <f aca="false">L81-K81</f>
        <v>798</v>
      </c>
      <c r="N81" s="9" t="n">
        <f aca="false">IFERROR((L81-K81)/L81,"")</f>
        <v>0.38</v>
      </c>
      <c r="O81" s="4" t="n">
        <v>6</v>
      </c>
      <c r="P81" s="5" t="s">
        <v>196</v>
      </c>
      <c r="Q81" s="5" t="s">
        <v>29</v>
      </c>
      <c r="R81" s="5" t="s">
        <v>30</v>
      </c>
      <c r="S81" s="5" t="s">
        <v>31</v>
      </c>
    </row>
    <row r="82" customFormat="false" ht="15" hidden="false" customHeight="false" outlineLevel="0" collapsed="false">
      <c r="A82" s="10" t="n">
        <v>78</v>
      </c>
      <c r="B82" s="11" t="s">
        <v>193</v>
      </c>
      <c r="C82" s="11" t="s">
        <v>200</v>
      </c>
      <c r="D82" s="11" t="s">
        <v>195</v>
      </c>
      <c r="E82" s="11" t="s">
        <v>57</v>
      </c>
      <c r="F82" s="11" t="s">
        <v>42</v>
      </c>
      <c r="G82" s="10"/>
      <c r="H82" s="11"/>
      <c r="I82" s="12"/>
      <c r="J82" s="11" t="s">
        <v>86</v>
      </c>
      <c r="K82" s="13" t="n">
        <v>2108</v>
      </c>
      <c r="L82" s="13" t="n">
        <v>3400</v>
      </c>
      <c r="M82" s="14" t="n">
        <f aca="false">L82-K82</f>
        <v>1292</v>
      </c>
      <c r="N82" s="15" t="n">
        <f aca="false">IFERROR((L82-K82)/L82,"")</f>
        <v>0.38</v>
      </c>
      <c r="O82" s="10" t="n">
        <v>12</v>
      </c>
      <c r="P82" s="11" t="s">
        <v>196</v>
      </c>
      <c r="Q82" s="11" t="s">
        <v>29</v>
      </c>
      <c r="R82" s="11" t="s">
        <v>30</v>
      </c>
      <c r="S82" s="11" t="s">
        <v>31</v>
      </c>
    </row>
    <row r="83" customFormat="false" ht="15" hidden="false" customHeight="false" outlineLevel="0" collapsed="false">
      <c r="A83" s="4" t="n">
        <v>79</v>
      </c>
      <c r="B83" s="5" t="s">
        <v>201</v>
      </c>
      <c r="C83" s="5" t="s">
        <v>202</v>
      </c>
      <c r="D83" s="5" t="s">
        <v>195</v>
      </c>
      <c r="E83" s="5" t="s">
        <v>203</v>
      </c>
      <c r="F83" s="5" t="s">
        <v>42</v>
      </c>
      <c r="G83" s="4"/>
      <c r="H83" s="5"/>
      <c r="I83" s="6"/>
      <c r="J83" s="5" t="s">
        <v>86</v>
      </c>
      <c r="K83" s="7" t="n">
        <v>589</v>
      </c>
      <c r="L83" s="7" t="n">
        <v>950</v>
      </c>
      <c r="M83" s="8" t="n">
        <f aca="false">L83-K83</f>
        <v>361</v>
      </c>
      <c r="N83" s="9" t="n">
        <f aca="false">IFERROR((L83-K83)/L83,"")</f>
        <v>0.38</v>
      </c>
      <c r="O83" s="4" t="n">
        <v>9</v>
      </c>
      <c r="P83" s="5" t="s">
        <v>196</v>
      </c>
      <c r="Q83" s="5" t="s">
        <v>29</v>
      </c>
      <c r="R83" s="5" t="s">
        <v>30</v>
      </c>
      <c r="S83" s="5" t="s">
        <v>31</v>
      </c>
    </row>
    <row r="84" customFormat="false" ht="15" hidden="false" customHeight="false" outlineLevel="0" collapsed="false">
      <c r="A84" s="10" t="n">
        <v>80</v>
      </c>
      <c r="B84" s="11" t="s">
        <v>201</v>
      </c>
      <c r="C84" s="11" t="s">
        <v>204</v>
      </c>
      <c r="D84" s="11" t="s">
        <v>195</v>
      </c>
      <c r="E84" s="11" t="s">
        <v>203</v>
      </c>
      <c r="F84" s="11" t="s">
        <v>42</v>
      </c>
      <c r="G84" s="10"/>
      <c r="H84" s="11"/>
      <c r="I84" s="12"/>
      <c r="J84" s="11" t="s">
        <v>86</v>
      </c>
      <c r="K84" s="13" t="n">
        <v>899</v>
      </c>
      <c r="L84" s="13" t="n">
        <v>1450</v>
      </c>
      <c r="M84" s="14" t="n">
        <f aca="false">L84-K84</f>
        <v>551</v>
      </c>
      <c r="N84" s="15" t="n">
        <f aca="false">IFERROR((L84-K84)/L84,"")</f>
        <v>0.38</v>
      </c>
      <c r="O84" s="10" t="n">
        <v>11</v>
      </c>
      <c r="P84" s="11" t="s">
        <v>196</v>
      </c>
      <c r="Q84" s="11" t="s">
        <v>29</v>
      </c>
      <c r="R84" s="11" t="s">
        <v>30</v>
      </c>
      <c r="S84" s="11" t="s">
        <v>31</v>
      </c>
    </row>
    <row r="85" customFormat="false" ht="15" hidden="false" customHeight="false" outlineLevel="0" collapsed="false">
      <c r="A85" s="4" t="n">
        <v>81</v>
      </c>
      <c r="B85" s="5" t="s">
        <v>201</v>
      </c>
      <c r="C85" s="5" t="s">
        <v>205</v>
      </c>
      <c r="D85" s="5" t="s">
        <v>195</v>
      </c>
      <c r="E85" s="5" t="s">
        <v>203</v>
      </c>
      <c r="F85" s="5" t="s">
        <v>42</v>
      </c>
      <c r="G85" s="4"/>
      <c r="H85" s="5"/>
      <c r="I85" s="6"/>
      <c r="J85" s="5" t="s">
        <v>86</v>
      </c>
      <c r="K85" s="7" t="n">
        <v>149</v>
      </c>
      <c r="L85" s="7" t="n">
        <v>240</v>
      </c>
      <c r="M85" s="8" t="n">
        <f aca="false">L85-K85</f>
        <v>91</v>
      </c>
      <c r="N85" s="9" t="n">
        <f aca="false">IFERROR((L85-K85)/L85,"")</f>
        <v>0.379166666666667</v>
      </c>
      <c r="O85" s="4" t="n">
        <v>14</v>
      </c>
      <c r="P85" s="5" t="s">
        <v>196</v>
      </c>
      <c r="Q85" s="5" t="s">
        <v>29</v>
      </c>
      <c r="R85" s="5" t="s">
        <v>30</v>
      </c>
      <c r="S85" s="5" t="s">
        <v>31</v>
      </c>
    </row>
    <row r="86" customFormat="false" ht="15" hidden="false" customHeight="false" outlineLevel="0" collapsed="false">
      <c r="A86" s="10" t="n">
        <v>82</v>
      </c>
      <c r="B86" s="11" t="s">
        <v>201</v>
      </c>
      <c r="C86" s="11" t="s">
        <v>206</v>
      </c>
      <c r="D86" s="11" t="s">
        <v>195</v>
      </c>
      <c r="E86" s="11" t="s">
        <v>203</v>
      </c>
      <c r="F86" s="11" t="s">
        <v>42</v>
      </c>
      <c r="G86" s="10"/>
      <c r="H86" s="11"/>
      <c r="I86" s="12"/>
      <c r="J86" s="11" t="s">
        <v>86</v>
      </c>
      <c r="K86" s="13" t="n">
        <v>56</v>
      </c>
      <c r="L86" s="13" t="n">
        <v>90</v>
      </c>
      <c r="M86" s="14" t="n">
        <f aca="false">L86-K86</f>
        <v>34</v>
      </c>
      <c r="N86" s="15" t="n">
        <f aca="false">IFERROR((L86-K86)/L86,"")</f>
        <v>0.377777777777778</v>
      </c>
      <c r="O86" s="10" t="n">
        <v>1</v>
      </c>
      <c r="P86" s="11" t="s">
        <v>196</v>
      </c>
      <c r="Q86" s="11" t="s">
        <v>29</v>
      </c>
      <c r="R86" s="11" t="s">
        <v>30</v>
      </c>
      <c r="S86" s="11" t="s">
        <v>31</v>
      </c>
    </row>
    <row r="87" customFormat="false" ht="15" hidden="false" customHeight="false" outlineLevel="0" collapsed="false">
      <c r="A87" s="4" t="n">
        <v>83</v>
      </c>
      <c r="B87" s="5" t="s">
        <v>201</v>
      </c>
      <c r="C87" s="5" t="s">
        <v>207</v>
      </c>
      <c r="D87" s="5" t="s">
        <v>195</v>
      </c>
      <c r="E87" s="5" t="s">
        <v>203</v>
      </c>
      <c r="F87" s="5" t="s">
        <v>42</v>
      </c>
      <c r="G87" s="4"/>
      <c r="H87" s="5"/>
      <c r="I87" s="6"/>
      <c r="J87" s="5" t="s">
        <v>86</v>
      </c>
      <c r="K87" s="7" t="n">
        <v>43</v>
      </c>
      <c r="L87" s="7" t="n">
        <v>70</v>
      </c>
      <c r="M87" s="8" t="n">
        <f aca="false">L87-K87</f>
        <v>27</v>
      </c>
      <c r="N87" s="9" t="n">
        <f aca="false">IFERROR((L87-K87)/L87,"")</f>
        <v>0.385714285714286</v>
      </c>
      <c r="O87" s="4" t="n">
        <v>7</v>
      </c>
      <c r="P87" s="5" t="s">
        <v>196</v>
      </c>
      <c r="Q87" s="5" t="s">
        <v>29</v>
      </c>
      <c r="R87" s="5" t="s">
        <v>30</v>
      </c>
      <c r="S87" s="5" t="s">
        <v>31</v>
      </c>
    </row>
    <row r="88" customFormat="false" ht="15" hidden="false" customHeight="false" outlineLevel="0" collapsed="false">
      <c r="A88" s="10" t="n">
        <v>84</v>
      </c>
      <c r="B88" s="11" t="s">
        <v>201</v>
      </c>
      <c r="C88" s="11" t="s">
        <v>208</v>
      </c>
      <c r="D88" s="11" t="s">
        <v>195</v>
      </c>
      <c r="E88" s="11" t="s">
        <v>57</v>
      </c>
      <c r="F88" s="11" t="s">
        <v>42</v>
      </c>
      <c r="G88" s="10"/>
      <c r="H88" s="11"/>
      <c r="I88" s="12"/>
      <c r="J88" s="11" t="s">
        <v>86</v>
      </c>
      <c r="K88" s="13" t="n">
        <v>74</v>
      </c>
      <c r="L88" s="13" t="n">
        <v>120</v>
      </c>
      <c r="M88" s="14" t="n">
        <f aca="false">L88-K88</f>
        <v>46</v>
      </c>
      <c r="N88" s="15" t="n">
        <f aca="false">IFERROR((L88-K88)/L88,"")</f>
        <v>0.383333333333333</v>
      </c>
      <c r="O88" s="10" t="n">
        <v>4</v>
      </c>
      <c r="P88" s="11" t="s">
        <v>196</v>
      </c>
      <c r="Q88" s="11" t="s">
        <v>29</v>
      </c>
      <c r="R88" s="11" t="s">
        <v>30</v>
      </c>
      <c r="S88" s="11" t="s">
        <v>31</v>
      </c>
    </row>
    <row r="89" customFormat="false" ht="15" hidden="false" customHeight="false" outlineLevel="0" collapsed="false">
      <c r="A89" s="4" t="n">
        <v>85</v>
      </c>
      <c r="B89" s="5" t="s">
        <v>201</v>
      </c>
      <c r="C89" s="5" t="s">
        <v>209</v>
      </c>
      <c r="D89" s="5" t="s">
        <v>195</v>
      </c>
      <c r="E89" s="5" t="s">
        <v>57</v>
      </c>
      <c r="F89" s="5" t="s">
        <v>42</v>
      </c>
      <c r="G89" s="4"/>
      <c r="H89" s="5"/>
      <c r="I89" s="6"/>
      <c r="J89" s="5" t="s">
        <v>86</v>
      </c>
      <c r="K89" s="7" t="n">
        <v>28</v>
      </c>
      <c r="L89" s="7" t="n">
        <v>45</v>
      </c>
      <c r="M89" s="8" t="n">
        <f aca="false">L89-K89</f>
        <v>17</v>
      </c>
      <c r="N89" s="9" t="n">
        <f aca="false">IFERROR((L89-K89)/L89,"")</f>
        <v>0.377777777777778</v>
      </c>
      <c r="O89" s="4" t="n">
        <v>5</v>
      </c>
      <c r="P89" s="5" t="s">
        <v>196</v>
      </c>
      <c r="Q89" s="5" t="s">
        <v>29</v>
      </c>
      <c r="R89" s="5" t="s">
        <v>30</v>
      </c>
      <c r="S89" s="5" t="s">
        <v>31</v>
      </c>
    </row>
    <row r="90" customFormat="false" ht="15" hidden="false" customHeight="false" outlineLevel="0" collapsed="false">
      <c r="A90" s="10" t="n">
        <v>86</v>
      </c>
      <c r="B90" s="11" t="s">
        <v>201</v>
      </c>
      <c r="C90" s="11" t="s">
        <v>210</v>
      </c>
      <c r="D90" s="11" t="s">
        <v>211</v>
      </c>
      <c r="E90" s="11" t="s">
        <v>203</v>
      </c>
      <c r="F90" s="11" t="s">
        <v>42</v>
      </c>
      <c r="G90" s="10"/>
      <c r="H90" s="11"/>
      <c r="I90" s="12"/>
      <c r="J90" s="11" t="s">
        <v>86</v>
      </c>
      <c r="K90" s="13" t="n">
        <v>174</v>
      </c>
      <c r="L90" s="13" t="n">
        <v>280</v>
      </c>
      <c r="M90" s="14" t="n">
        <f aca="false">L90-K90</f>
        <v>106</v>
      </c>
      <c r="N90" s="15" t="n">
        <f aca="false">IFERROR((L90-K90)/L90,"")</f>
        <v>0.378571428571429</v>
      </c>
      <c r="O90" s="10" t="n">
        <v>0</v>
      </c>
      <c r="P90" s="11" t="s">
        <v>196</v>
      </c>
      <c r="Q90" s="11" t="s">
        <v>29</v>
      </c>
      <c r="R90" s="11" t="s">
        <v>31</v>
      </c>
      <c r="S90" s="11" t="s">
        <v>31</v>
      </c>
    </row>
    <row r="91" customFormat="false" ht="15" hidden="false" customHeight="false" outlineLevel="0" collapsed="false">
      <c r="A91" s="4" t="n">
        <v>87</v>
      </c>
      <c r="B91" s="5" t="s">
        <v>201</v>
      </c>
      <c r="C91" s="5" t="s">
        <v>212</v>
      </c>
      <c r="D91" s="5" t="s">
        <v>195</v>
      </c>
      <c r="E91" s="5" t="s">
        <v>57</v>
      </c>
      <c r="F91" s="5" t="s">
        <v>42</v>
      </c>
      <c r="G91" s="4"/>
      <c r="H91" s="5"/>
      <c r="I91" s="6"/>
      <c r="J91" s="5" t="s">
        <v>86</v>
      </c>
      <c r="K91" s="7" t="n">
        <v>198</v>
      </c>
      <c r="L91" s="7" t="n">
        <v>320</v>
      </c>
      <c r="M91" s="8" t="n">
        <f aca="false">L91-K91</f>
        <v>122</v>
      </c>
      <c r="N91" s="9" t="n">
        <f aca="false">IFERROR((L91-K91)/L91,"")</f>
        <v>0.38125</v>
      </c>
      <c r="O91" s="4" t="n">
        <v>1</v>
      </c>
      <c r="P91" s="5" t="s">
        <v>196</v>
      </c>
      <c r="Q91" s="5" t="s">
        <v>29</v>
      </c>
      <c r="R91" s="5" t="s">
        <v>30</v>
      </c>
      <c r="S91" s="5" t="s">
        <v>31</v>
      </c>
    </row>
    <row r="92" customFormat="false" ht="15" hidden="false" customHeight="false" outlineLevel="0" collapsed="false">
      <c r="A92" s="10" t="n">
        <v>88</v>
      </c>
      <c r="B92" s="11" t="s">
        <v>201</v>
      </c>
      <c r="C92" s="11" t="s">
        <v>213</v>
      </c>
      <c r="D92" s="11" t="s">
        <v>195</v>
      </c>
      <c r="E92" s="11" t="s">
        <v>57</v>
      </c>
      <c r="F92" s="11" t="s">
        <v>42</v>
      </c>
      <c r="G92" s="10"/>
      <c r="H92" s="11"/>
      <c r="I92" s="12"/>
      <c r="J92" s="11" t="s">
        <v>86</v>
      </c>
      <c r="K92" s="13" t="n">
        <v>1358</v>
      </c>
      <c r="L92" s="13" t="n">
        <v>2190</v>
      </c>
      <c r="M92" s="14" t="n">
        <f aca="false">L92-K92</f>
        <v>832</v>
      </c>
      <c r="N92" s="15" t="n">
        <f aca="false">IFERROR((L92-K92)/L92,"")</f>
        <v>0.379908675799087</v>
      </c>
      <c r="O92" s="10" t="n">
        <v>0</v>
      </c>
      <c r="P92" s="11" t="s">
        <v>196</v>
      </c>
      <c r="Q92" s="11" t="s">
        <v>29</v>
      </c>
      <c r="R92" s="11" t="s">
        <v>31</v>
      </c>
      <c r="S92" s="11" t="s">
        <v>31</v>
      </c>
    </row>
    <row r="93" customFormat="false" ht="15" hidden="false" customHeight="false" outlineLevel="0" collapsed="false">
      <c r="A93" s="4" t="n">
        <v>89</v>
      </c>
      <c r="B93" s="5" t="s">
        <v>201</v>
      </c>
      <c r="C93" s="5" t="s">
        <v>214</v>
      </c>
      <c r="D93" s="5" t="s">
        <v>195</v>
      </c>
      <c r="E93" s="5" t="s">
        <v>57</v>
      </c>
      <c r="F93" s="5" t="s">
        <v>42</v>
      </c>
      <c r="G93" s="4"/>
      <c r="H93" s="5"/>
      <c r="I93" s="6"/>
      <c r="J93" s="5" t="s">
        <v>86</v>
      </c>
      <c r="K93" s="7" t="n">
        <v>99</v>
      </c>
      <c r="L93" s="7" t="n">
        <v>160</v>
      </c>
      <c r="M93" s="8" t="n">
        <f aca="false">L93-K93</f>
        <v>61</v>
      </c>
      <c r="N93" s="9" t="n">
        <f aca="false">IFERROR((L93-K93)/L93,"")</f>
        <v>0.38125</v>
      </c>
      <c r="O93" s="4" t="n">
        <v>9</v>
      </c>
      <c r="P93" s="5" t="s">
        <v>196</v>
      </c>
      <c r="Q93" s="5" t="s">
        <v>29</v>
      </c>
      <c r="R93" s="5" t="s">
        <v>30</v>
      </c>
      <c r="S93" s="5" t="s">
        <v>31</v>
      </c>
    </row>
    <row r="94" customFormat="false" ht="15" hidden="false" customHeight="false" outlineLevel="0" collapsed="false">
      <c r="A94" s="16" t="s">
        <v>215</v>
      </c>
      <c r="B94" s="16"/>
      <c r="C94" s="16"/>
      <c r="D94" s="16"/>
      <c r="E94" s="16"/>
      <c r="F94" s="16"/>
      <c r="G94" s="16"/>
      <c r="H94" s="16"/>
      <c r="I94" s="16"/>
      <c r="J94" s="16"/>
      <c r="K94" s="17" t="n">
        <f aca="false">SUM(K5:K93)</f>
        <v>194010</v>
      </c>
      <c r="L94" s="17" t="n">
        <f aca="false">SUM(L5:L93)</f>
        <v>261975</v>
      </c>
      <c r="M94" s="17" t="n">
        <f aca="false">SUM(M5:M93)</f>
        <v>67965</v>
      </c>
      <c r="N94" s="18" t="n">
        <f aca="false">IFERROR(M94/L94,"")</f>
        <v>0.259433152018322</v>
      </c>
    </row>
  </sheetData>
  <autoFilter ref="A4:S93"/>
  <mergeCells count="3">
    <mergeCell ref="A1:E1"/>
    <mergeCell ref="A2:E2"/>
    <mergeCell ref="A94:J9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4" min="3" style="0" width="19"/>
    <col collapsed="false" customWidth="true" hidden="false" outlineLevel="0" max="5" min="5" style="0" width="17"/>
    <col collapsed="false" customWidth="true" hidden="false" outlineLevel="0" max="6" min="6" style="0" width="11"/>
  </cols>
  <sheetData>
    <row r="1" customFormat="false" ht="18.55" hidden="false" customHeight="false" outlineLevel="0" collapsed="false">
      <c r="A1" s="19" t="s">
        <v>216</v>
      </c>
    </row>
    <row r="2" customFormat="false" ht="15" hidden="false" customHeight="false" outlineLevel="0" collapsed="false">
      <c r="A2" s="20" t="s">
        <v>217</v>
      </c>
    </row>
    <row r="4" customFormat="false" ht="25.5" hidden="false" customHeight="true" outlineLevel="0" collapsed="false">
      <c r="A4" s="3" t="s">
        <v>3</v>
      </c>
      <c r="B4" s="3" t="s">
        <v>218</v>
      </c>
      <c r="C4" s="3" t="s">
        <v>219</v>
      </c>
      <c r="D4" s="3" t="s">
        <v>220</v>
      </c>
      <c r="E4" s="3" t="s">
        <v>221</v>
      </c>
      <c r="F4" s="3" t="s">
        <v>15</v>
      </c>
    </row>
    <row r="5" customFormat="false" ht="15" hidden="false" customHeight="false" outlineLevel="0" collapsed="false">
      <c r="A5" s="5" t="s">
        <v>21</v>
      </c>
      <c r="B5" s="4" t="n">
        <f aca="false">COUNTIF(Catálogo!$B$5:$B$93,$A5)</f>
        <v>64</v>
      </c>
      <c r="C5" s="7" t="n">
        <f aca="false">SUMIF(Catálogo!$B$5:$B$93,$A5,Catálogo!$K$5:$K$93)</f>
        <v>136789</v>
      </c>
      <c r="D5" s="7" t="n">
        <f aca="false">SUMIF(Catálogo!$B$5:$B$93,$A5,Catálogo!$L$5:$L$93)</f>
        <v>183870</v>
      </c>
      <c r="E5" s="8" t="n">
        <f aca="false">D5-C5</f>
        <v>47081</v>
      </c>
      <c r="F5" s="9" t="n">
        <f aca="false">IFERROR(E5/D5,"")</f>
        <v>0.256055909066188</v>
      </c>
    </row>
    <row r="6" customFormat="false" ht="15" hidden="false" customHeight="false" outlineLevel="0" collapsed="false">
      <c r="A6" s="11" t="s">
        <v>181</v>
      </c>
      <c r="B6" s="10" t="n">
        <f aca="false">COUNTIF(Catálogo!$B$5:$B$93,$A6)</f>
        <v>5</v>
      </c>
      <c r="C6" s="13" t="n">
        <f aca="false">SUMIF(Catálogo!$B$5:$B$93,$A6,Catálogo!$K$5:$K$93)</f>
        <v>28085</v>
      </c>
      <c r="D6" s="13" t="n">
        <f aca="false">SUMIF(Catálogo!$B$5:$B$93,$A6,Catálogo!$L$5:$L$93)</f>
        <v>35870</v>
      </c>
      <c r="E6" s="14" t="n">
        <f aca="false">D6-C6</f>
        <v>7785</v>
      </c>
      <c r="F6" s="15" t="n">
        <f aca="false">IFERROR(E6/D6,"")</f>
        <v>0.217033732924449</v>
      </c>
    </row>
    <row r="7" customFormat="false" ht="15" hidden="false" customHeight="false" outlineLevel="0" collapsed="false">
      <c r="A7" s="5" t="s">
        <v>186</v>
      </c>
      <c r="B7" s="4" t="n">
        <f aca="false">COUNTIF(Catálogo!$B$5:$B$93,$A7)</f>
        <v>3</v>
      </c>
      <c r="C7" s="7" t="n">
        <f aca="false">SUMIF(Catálogo!$B$5:$B$93,$A7,Catálogo!$K$5:$K$93)</f>
        <v>12326</v>
      </c>
      <c r="D7" s="7" t="n">
        <f aca="false">SUMIF(Catálogo!$B$5:$B$93,$A7,Catálogo!$L$5:$L$93)</f>
        <v>16340</v>
      </c>
      <c r="E7" s="8" t="n">
        <f aca="false">D7-C7</f>
        <v>4014</v>
      </c>
      <c r="F7" s="9" t="n">
        <f aca="false">IFERROR(E7/D7,"")</f>
        <v>0.245654834761322</v>
      </c>
    </row>
    <row r="8" customFormat="false" ht="15" hidden="false" customHeight="false" outlineLevel="0" collapsed="false">
      <c r="A8" s="11" t="s">
        <v>191</v>
      </c>
      <c r="B8" s="10" t="n">
        <f aca="false">COUNTIF(Catálogo!$B$5:$B$93,$A8)</f>
        <v>1</v>
      </c>
      <c r="C8" s="13" t="n">
        <f aca="false">SUMIF(Catálogo!$B$5:$B$93,$A8,Catálogo!$K$5:$K$93)</f>
        <v>7885</v>
      </c>
      <c r="D8" s="13" t="n">
        <f aca="false">SUMIF(Catálogo!$B$5:$B$93,$A8,Catálogo!$L$5:$L$93)</f>
        <v>11500</v>
      </c>
      <c r="E8" s="14" t="n">
        <f aca="false">D8-C8</f>
        <v>3615</v>
      </c>
      <c r="F8" s="15" t="n">
        <f aca="false">IFERROR(E8/D8,"")</f>
        <v>0.314347826086957</v>
      </c>
    </row>
    <row r="9" customFormat="false" ht="15" hidden="false" customHeight="false" outlineLevel="0" collapsed="false">
      <c r="A9" s="5" t="s">
        <v>193</v>
      </c>
      <c r="B9" s="4" t="n">
        <f aca="false">COUNTIF(Catálogo!$B$5:$B$93,$A9)</f>
        <v>5</v>
      </c>
      <c r="C9" s="7" t="n">
        <f aca="false">SUMIF(Catálogo!$B$5:$B$93,$A9,Catálogo!$K$5:$K$93)</f>
        <v>5258</v>
      </c>
      <c r="D9" s="7" t="n">
        <f aca="false">SUMIF(Catálogo!$B$5:$B$93,$A9,Catálogo!$L$5:$L$93)</f>
        <v>8480</v>
      </c>
      <c r="E9" s="8" t="n">
        <f aca="false">D9-C9</f>
        <v>3222</v>
      </c>
      <c r="F9" s="9" t="n">
        <f aca="false">IFERROR(E9/D9,"")</f>
        <v>0.379952830188679</v>
      </c>
    </row>
    <row r="10" customFormat="false" ht="15" hidden="false" customHeight="false" outlineLevel="0" collapsed="false">
      <c r="A10" s="11" t="s">
        <v>201</v>
      </c>
      <c r="B10" s="10" t="n">
        <f aca="false">COUNTIF(Catálogo!$B$5:$B$93,$A10)</f>
        <v>11</v>
      </c>
      <c r="C10" s="13" t="n">
        <f aca="false">SUMIF(Catálogo!$B$5:$B$93,$A10,Catálogo!$K$5:$K$93)</f>
        <v>3667</v>
      </c>
      <c r="D10" s="13" t="n">
        <f aca="false">SUMIF(Catálogo!$B$5:$B$93,$A10,Catálogo!$L$5:$L$93)</f>
        <v>5915</v>
      </c>
      <c r="E10" s="14" t="n">
        <f aca="false">D10-C10</f>
        <v>2248</v>
      </c>
      <c r="F10" s="15" t="n">
        <f aca="false">IFERROR(E10/D10,"")</f>
        <v>0.380050718512257</v>
      </c>
    </row>
    <row r="11" customFormat="false" ht="15" hidden="false" customHeight="false" outlineLevel="0" collapsed="false">
      <c r="A11" s="16" t="s">
        <v>215</v>
      </c>
      <c r="B11" s="21" t="n">
        <f aca="false">SUM(B5:B10)</f>
        <v>89</v>
      </c>
      <c r="C11" s="17" t="n">
        <f aca="false">SUM(C5:C10)</f>
        <v>194010</v>
      </c>
      <c r="D11" s="17" t="n">
        <f aca="false">SUM(D5:D10)</f>
        <v>261975</v>
      </c>
      <c r="E11" s="17" t="n">
        <f aca="false">SUM(E5:E10)</f>
        <v>67965</v>
      </c>
      <c r="F11" s="18" t="n">
        <f aca="false">IFERROR(E11/D11,"")</f>
        <v>0.259433152018322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6"/>
  </cols>
  <sheetData>
    <row r="1" customFormat="false" ht="18.55" hidden="false" customHeight="false" outlineLevel="0" collapsed="false">
      <c r="A1" s="19" t="s">
        <v>222</v>
      </c>
    </row>
    <row r="3" customFormat="false" ht="15" hidden="false" customHeight="false" outlineLevel="0" collapsed="false">
      <c r="A3" s="22" t="s">
        <v>223</v>
      </c>
      <c r="B3" s="22" t="s">
        <v>224</v>
      </c>
    </row>
    <row r="4" customFormat="false" ht="25.5" hidden="false" customHeight="true" outlineLevel="0" collapsed="false">
      <c r="A4" s="23" t="s">
        <v>12</v>
      </c>
      <c r="B4" s="24" t="s">
        <v>225</v>
      </c>
    </row>
    <row r="5" customFormat="false" ht="25.5" hidden="false" customHeight="true" outlineLevel="0" collapsed="false">
      <c r="A5" s="25" t="s">
        <v>13</v>
      </c>
      <c r="B5" s="26" t="s">
        <v>226</v>
      </c>
    </row>
    <row r="6" customFormat="false" ht="25.5" hidden="false" customHeight="true" outlineLevel="0" collapsed="false">
      <c r="A6" s="23" t="s">
        <v>14</v>
      </c>
      <c r="B6" s="24" t="s">
        <v>227</v>
      </c>
    </row>
    <row r="7" customFormat="false" ht="25.5" hidden="false" customHeight="true" outlineLevel="0" collapsed="false">
      <c r="A7" s="25" t="s">
        <v>15</v>
      </c>
      <c r="B7" s="26" t="s">
        <v>228</v>
      </c>
    </row>
    <row r="8" customFormat="false" ht="25.5" hidden="false" customHeight="true" outlineLevel="0" collapsed="false">
      <c r="A8" s="23" t="s">
        <v>8</v>
      </c>
      <c r="B8" s="24" t="s">
        <v>229</v>
      </c>
    </row>
    <row r="9" customFormat="false" ht="25.5" hidden="false" customHeight="true" outlineLevel="0" collapsed="false">
      <c r="A9" s="25" t="s">
        <v>9</v>
      </c>
      <c r="B9" s="26" t="s">
        <v>230</v>
      </c>
    </row>
    <row r="10" customFormat="false" ht="25.5" hidden="false" customHeight="true" outlineLevel="0" collapsed="false">
      <c r="A10" s="23" t="s">
        <v>17</v>
      </c>
      <c r="B10" s="24" t="s">
        <v>231</v>
      </c>
    </row>
    <row r="11" customFormat="false" ht="25.5" hidden="false" customHeight="true" outlineLevel="0" collapsed="false">
      <c r="A11" s="25" t="s">
        <v>18</v>
      </c>
      <c r="B11" s="26" t="s">
        <v>232</v>
      </c>
    </row>
    <row r="12" customFormat="false" ht="25.5" hidden="false" customHeight="true" outlineLevel="0" collapsed="false">
      <c r="A12" s="23" t="s">
        <v>19</v>
      </c>
      <c r="B12" s="24" t="s">
        <v>233</v>
      </c>
    </row>
    <row r="13" customFormat="false" ht="25.5" hidden="false" customHeight="true" outlineLevel="0" collapsed="false">
      <c r="A13" s="25" t="s">
        <v>20</v>
      </c>
      <c r="B13" s="26" t="s">
        <v>234</v>
      </c>
    </row>
    <row r="15" customFormat="false" ht="15" hidden="false" customHeight="false" outlineLevel="0" collapsed="false">
      <c r="A15" s="27" t="s">
        <v>235</v>
      </c>
    </row>
    <row r="16" customFormat="false" ht="15" hidden="false" customHeight="false" outlineLevel="0" collapsed="false">
      <c r="A16" s="28" t="s">
        <v>236</v>
      </c>
      <c r="B16" s="28"/>
    </row>
    <row r="18" customFormat="false" ht="15" hidden="false" customHeight="false" outlineLevel="0" collapsed="false">
      <c r="A18" s="29" t="s">
        <v>237</v>
      </c>
      <c r="B18" s="29"/>
    </row>
  </sheetData>
  <mergeCells count="2">
    <mergeCell ref="A16:B16"/>
    <mergeCell ref="A18:B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2026-08-15T17:16:16Z</dcterms:created>
  <dc:creator>openpyxl</dc:creator>
  <dc:description/>
  <dc:language>pt-BR</dc:language>
  <cp:lastModifiedBy/>
  <dcterms:modified xsi:type="dcterms:W3CDTF">2026-08-15T17:16:16Z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